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重点项目\蔡健明_漫剧投放数据分析_GitHub完整项目\data\processed\"/>
    </mc:Choice>
  </mc:AlternateContent>
  <bookViews>
    <workbookView windowWidth="22188" windowHeight="9060" activeTab="2"/>
  </bookViews>
  <sheets>
    <sheet name="脱敏说明" sheetId="1" r:id="rId1"/>
    <sheet name="字段说明" sheetId="2" r:id="rId2"/>
    <sheet name="脱敏数据" sheetId="3" r:id="rId3"/>
    <sheet name="透视表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<sst xmlns="http://schemas.openxmlformats.org/spreadsheetml/2006/main" count="2904" uniqueCount="1205">
  <si>
    <t>漫剧投放账号月度数据｜深度脱敏版</t>
  </si>
  <si>
    <t>项目用途</t>
  </si>
  <si>
    <t>个人数据运营学习、作品集制作与面试展示</t>
  </si>
  <si>
    <t>业务范围</t>
  </si>
  <si>
    <t>只涉及漫剧板块</t>
  </si>
  <si>
    <t>时间范围</t>
  </si>
  <si>
    <t>2026年7月整月汇总</t>
  </si>
  <si>
    <t>数据粒度</t>
  </si>
  <si>
    <t>账号 × 月；一行代表一个账号在该月的汇总表现</t>
  </si>
  <si>
    <t>样本规模</t>
  </si>
  <si>
    <t>551个账号，8个匿名品牌，1个匿名客户主体</t>
  </si>
  <si>
    <t>身份脱敏</t>
  </si>
  <si>
    <t>账号ID、账号名称、客户ID、客户名称、品牌名称均已不可逆替换</t>
  </si>
  <si>
    <t>数值脱敏</t>
  </si>
  <si>
    <t>展示、点击、消耗、付费、变现、播放等绝对量按统一隐匿系数缩放</t>
  </si>
  <si>
    <t>指标处理</t>
  </si>
  <si>
    <t>CTR、CPM、CPC、ROI、播放成本、播放率由脱敏后的基础字段重新计算</t>
  </si>
  <si>
    <t>字段名</t>
  </si>
  <si>
    <t>类型</t>
  </si>
  <si>
    <t>处理方式</t>
  </si>
  <si>
    <t>项目中的主要用途</t>
  </si>
  <si>
    <t>日期</t>
  </si>
  <si>
    <t>月份</t>
  </si>
  <si>
    <t>保留月份，统一为Excel日期</t>
  </si>
  <si>
    <t>确认分析窗口</t>
  </si>
  <si>
    <t>账号id</t>
  </si>
  <si>
    <t>标识</t>
  </si>
  <si>
    <t>替换为MJ-0001格式</t>
  </si>
  <si>
    <t>账号唯一键</t>
  </si>
  <si>
    <t>账号名称</t>
  </si>
  <si>
    <t>重建匿名名称</t>
  </si>
  <si>
    <t>展示与筛选</t>
  </si>
  <si>
    <t>客户id</t>
  </si>
  <si>
    <t>替换为CUST-001</t>
  </si>
  <si>
    <t>客户维度占位</t>
  </si>
  <si>
    <t>客户名称</t>
  </si>
  <si>
    <t>替换为客户主体A</t>
  </si>
  <si>
    <t>品牌名称</t>
  </si>
  <si>
    <t>分类</t>
  </si>
  <si>
    <t>替换为漫剧品牌A-H</t>
  </si>
  <si>
    <t>品牌横向对标</t>
  </si>
  <si>
    <t>展示量</t>
  </si>
  <si>
    <t>基础指标</t>
  </si>
  <si>
    <t>统一比例缩放</t>
  </si>
  <si>
    <t>流量规模、CPM、CTR</t>
  </si>
  <si>
    <t>点击量</t>
  </si>
  <si>
    <t>点击规模、CTR、CPC</t>
  </si>
  <si>
    <t>三连投放总消耗(毫分)</t>
  </si>
  <si>
    <t>统一比例缩放，保留5位小数</t>
  </si>
  <si>
    <t>核心消耗口径及派生指标分母</t>
  </si>
  <si>
    <t>整体实收总消耗</t>
  </si>
  <si>
    <t>实收消耗辅助核对</t>
  </si>
  <si>
    <t>点击率</t>
  </si>
  <si>
    <t>派生指标</t>
  </si>
  <si>
    <t>点击量÷展示量</t>
  </si>
  <si>
    <t>点击效率</t>
  </si>
  <si>
    <t>千次展示价格</t>
  </si>
  <si>
    <t>投放总消耗÷展示量×1000</t>
  </si>
  <si>
    <t>曝光成本</t>
  </si>
  <si>
    <t>单次点击价格</t>
  </si>
  <si>
    <t>投放总消耗÷点击量</t>
  </si>
  <si>
    <t>获点击成本</t>
  </si>
  <si>
    <t>应用内累计付费金额</t>
  </si>
  <si>
    <t>长期付费辅助指标</t>
  </si>
  <si>
    <t>激活后24小时付费金额</t>
  </si>
  <si>
    <t>早期付费</t>
  </si>
  <si>
    <t>激活后24小时变现金额</t>
  </si>
  <si>
    <t>24小时变现</t>
  </si>
  <si>
    <t>激活后24小时变现ROI</t>
  </si>
  <si>
    <t>24小时变现金额÷投放总消耗</t>
  </si>
  <si>
    <t>核心效率指标</t>
  </si>
  <si>
    <t>激活24小时内混合变现金额</t>
  </si>
  <si>
    <t>混合变现</t>
  </si>
  <si>
    <t>激活24小时内混合变现ROI</t>
  </si>
  <si>
    <t>混合变现金额÷投放总消耗</t>
  </si>
  <si>
    <t>综合效率指标</t>
  </si>
  <si>
    <t>播放量</t>
  </si>
  <si>
    <t>内容消费规模</t>
  </si>
  <si>
    <t>播放成本</t>
  </si>
  <si>
    <t>投放总消耗÷播放量</t>
  </si>
  <si>
    <t>内容消费成本</t>
  </si>
  <si>
    <t>播放率</t>
  </si>
  <si>
    <t>播放量÷展示量</t>
  </si>
  <si>
    <t>内容承接效率</t>
  </si>
  <si>
    <t>账号月重复计数</t>
  </si>
  <si>
    <t>重算 CTR</t>
  </si>
  <si>
    <t>重算播放率</t>
  </si>
  <si>
    <t>重算播放成本</t>
  </si>
  <si>
    <t>源播放成本反向审计</t>
  </si>
  <si>
    <t>MJ-0482</t>
  </si>
  <si>
    <t>漫剧品牌G-账号-0482</t>
  </si>
  <si>
    <t>CUST-001</t>
  </si>
  <si>
    <t>客户主体A</t>
  </si>
  <si>
    <t>漫剧品牌G</t>
  </si>
  <si>
    <t>MJ-0250</t>
  </si>
  <si>
    <t>漫剧品牌C-账号-0250</t>
  </si>
  <si>
    <t>漫剧品牌C</t>
  </si>
  <si>
    <t>MJ-0128</t>
  </si>
  <si>
    <t>漫剧品牌C-账号-0128</t>
  </si>
  <si>
    <t>MJ-0310</t>
  </si>
  <si>
    <t>漫剧品牌F-账号-0310</t>
  </si>
  <si>
    <t>漫剧品牌F</t>
  </si>
  <si>
    <t>MJ-0113</t>
  </si>
  <si>
    <t>漫剧品牌C-账号-0113</t>
  </si>
  <si>
    <t>MJ-0321</t>
  </si>
  <si>
    <t>漫剧品牌F-账号-0321</t>
  </si>
  <si>
    <t>MJ-0204</t>
  </si>
  <si>
    <t>漫剧品牌C-账号-0204</t>
  </si>
  <si>
    <t>MJ-0304</t>
  </si>
  <si>
    <t>漫剧品牌B-账号-0304</t>
  </si>
  <si>
    <t>漫剧品牌B</t>
  </si>
  <si>
    <t>MJ-0114</t>
  </si>
  <si>
    <t>漫剧品牌C-账号-0114</t>
  </si>
  <si>
    <t>MJ-0521</t>
  </si>
  <si>
    <t>漫剧品牌D-账号-0521</t>
  </si>
  <si>
    <t>漫剧品牌D</t>
  </si>
  <si>
    <t>MJ-0059</t>
  </si>
  <si>
    <t>漫剧品牌D-账号-0059</t>
  </si>
  <si>
    <t>MJ-0115</t>
  </si>
  <si>
    <t>漫剧品牌C-账号-0115</t>
  </si>
  <si>
    <t>MJ-0456</t>
  </si>
  <si>
    <t>漫剧品牌G-账号-0456</t>
  </si>
  <si>
    <t>MJ-0479</t>
  </si>
  <si>
    <t>漫剧品牌C-账号-0479</t>
  </si>
  <si>
    <t>MJ-0102</t>
  </si>
  <si>
    <t>漫剧品牌C-账号-0102</t>
  </si>
  <si>
    <t>MJ-0465</t>
  </si>
  <si>
    <t>漫剧品牌G-账号-0465</t>
  </si>
  <si>
    <t>MJ-0501</t>
  </si>
  <si>
    <t>漫剧品牌G-账号-0501</t>
  </si>
  <si>
    <t>MJ-0101</t>
  </si>
  <si>
    <t>漫剧品牌C-账号-0101</t>
  </si>
  <si>
    <t>MJ-0111</t>
  </si>
  <si>
    <t>漫剧品牌C-账号-0111</t>
  </si>
  <si>
    <t>MJ-0472</t>
  </si>
  <si>
    <t>漫剧品牌C-账号-0472</t>
  </si>
  <si>
    <t>MJ-0099</t>
  </si>
  <si>
    <t>漫剧品牌C-账号-0099</t>
  </si>
  <si>
    <t>MJ-0119</t>
  </si>
  <si>
    <t>漫剧品牌C-账号-0119</t>
  </si>
  <si>
    <t>MJ-0061</t>
  </si>
  <si>
    <t>漫剧品牌D-账号-0061</t>
  </si>
  <si>
    <t>MJ-0460</t>
  </si>
  <si>
    <t>漫剧品牌C-账号-0460</t>
  </si>
  <si>
    <t>MJ-0484</t>
  </si>
  <si>
    <t>漫剧品牌C-账号-0484</t>
  </si>
  <si>
    <t>MJ-0107</t>
  </si>
  <si>
    <t>漫剧品牌C-账号-0107</t>
  </si>
  <si>
    <t>MJ-0370</t>
  </si>
  <si>
    <t>漫剧品牌C-账号-0370</t>
  </si>
  <si>
    <t>MJ-0510</t>
  </si>
  <si>
    <t>漫剧品牌E-账号-0510</t>
  </si>
  <si>
    <t>漫剧品牌E</t>
  </si>
  <si>
    <t>MJ-0036</t>
  </si>
  <si>
    <t>漫剧品牌C-账号-0036</t>
  </si>
  <si>
    <t>MJ-0454</t>
  </si>
  <si>
    <t>漫剧品牌C-账号-0454</t>
  </si>
  <si>
    <t>MJ-0360</t>
  </si>
  <si>
    <t>漫剧品牌C-账号-0360</t>
  </si>
  <si>
    <t>MJ-0134</t>
  </si>
  <si>
    <t>漫剧品牌D-账号-0134</t>
  </si>
  <si>
    <t>MJ-0292</t>
  </si>
  <si>
    <t>漫剧品牌C-账号-0292</t>
  </si>
  <si>
    <t>MJ-0120</t>
  </si>
  <si>
    <t>漫剧品牌C-账号-0120</t>
  </si>
  <si>
    <t>MJ-0457</t>
  </si>
  <si>
    <t>漫剧品牌C-账号-0457</t>
  </si>
  <si>
    <t>MJ-0474</t>
  </si>
  <si>
    <t>漫剧品牌G-账号-0474</t>
  </si>
  <si>
    <t>MJ-0109</t>
  </si>
  <si>
    <t>漫剧品牌C-账号-0109</t>
  </si>
  <si>
    <t>MJ-0467</t>
  </si>
  <si>
    <t>漫剧品牌C-账号-0467</t>
  </si>
  <si>
    <t>MJ-0362</t>
  </si>
  <si>
    <t>漫剧品牌C-账号-0362</t>
  </si>
  <si>
    <t>MJ-0503</t>
  </si>
  <si>
    <t>漫剧品牌C-账号-0503</t>
  </si>
  <si>
    <t>MJ-0154</t>
  </si>
  <si>
    <t>漫剧品牌D-账号-0154</t>
  </si>
  <si>
    <t>MJ-0242</t>
  </si>
  <si>
    <t>漫剧品牌C-账号-0242</t>
  </si>
  <si>
    <t>MJ-0210</t>
  </si>
  <si>
    <t>漫剧品牌B-账号-0210</t>
  </si>
  <si>
    <t>MJ-0194</t>
  </si>
  <si>
    <t>漫剧品牌G-账号-0194</t>
  </si>
  <si>
    <t>MJ-0124</t>
  </si>
  <si>
    <t>漫剧品牌C-账号-0124</t>
  </si>
  <si>
    <t>MJ-0507</t>
  </si>
  <si>
    <t>漫剧品牌D-账号-0507</t>
  </si>
  <si>
    <t>MJ-0025</t>
  </si>
  <si>
    <t>漫剧品牌C-账号-0025</t>
  </si>
  <si>
    <t>MJ-0466</t>
  </si>
  <si>
    <t>漫剧品牌C-账号-0466</t>
  </si>
  <si>
    <t>MJ-0355</t>
  </si>
  <si>
    <t>漫剧品牌C-账号-0355</t>
  </si>
  <si>
    <t>MJ-0135</t>
  </si>
  <si>
    <t>漫剧品牌C-账号-0135</t>
  </si>
  <si>
    <t>MJ-0504</t>
  </si>
  <si>
    <t>漫剧品牌G-账号-0504</t>
  </si>
  <si>
    <t>MJ-0060</t>
  </si>
  <si>
    <t>漫剧品牌D-账号-0060</t>
  </si>
  <si>
    <t>MJ-0131</t>
  </si>
  <si>
    <t>漫剧品牌C-账号-0131</t>
  </si>
  <si>
    <t>MJ-0118</t>
  </si>
  <si>
    <t>漫剧品牌C-账号-0118</t>
  </si>
  <si>
    <t>MJ-0105</t>
  </si>
  <si>
    <t>漫剧品牌C-账号-0105</t>
  </si>
  <si>
    <t>MJ-0531</t>
  </si>
  <si>
    <t>漫剧品牌D-账号-0531</t>
  </si>
  <si>
    <t>MJ-0348</t>
  </si>
  <si>
    <t>漫剧品牌D-账号-0348</t>
  </si>
  <si>
    <t>MJ-0001</t>
  </si>
  <si>
    <t>漫剧品牌H-账号-0001</t>
  </si>
  <si>
    <t>漫剧品牌H</t>
  </si>
  <si>
    <t>MJ-0006</t>
  </si>
  <si>
    <t>漫剧品牌H-账号-0006</t>
  </si>
  <si>
    <t>MJ-0486</t>
  </si>
  <si>
    <t>漫剧品牌G-账号-0486</t>
  </si>
  <si>
    <t>MJ-0148</t>
  </si>
  <si>
    <t>漫剧品牌D-账号-0148</t>
  </si>
  <si>
    <t>MJ-0518</t>
  </si>
  <si>
    <t>漫剧品牌H-账号-0518</t>
  </si>
  <si>
    <t>MJ-0039</t>
  </si>
  <si>
    <t>漫剧品牌C-账号-0039</t>
  </si>
  <si>
    <t>MJ-0492</t>
  </si>
  <si>
    <t>漫剧品牌G-账号-0492</t>
  </si>
  <si>
    <t>MJ-0373</t>
  </si>
  <si>
    <t>漫剧品牌C-账号-0373</t>
  </si>
  <si>
    <t>MJ-0281</t>
  </si>
  <si>
    <t>漫剧品牌C-账号-0281</t>
  </si>
  <si>
    <t>MJ-0459</t>
  </si>
  <si>
    <t>漫剧品牌G-账号-0459</t>
  </si>
  <si>
    <t>MJ-0239</t>
  </si>
  <si>
    <t>漫剧品牌B-账号-0239</t>
  </si>
  <si>
    <t>MJ-0449</t>
  </si>
  <si>
    <t>漫剧品牌G-账号-0449</t>
  </si>
  <si>
    <t>MJ-0112</t>
  </si>
  <si>
    <t>漫剧品牌C-账号-0112</t>
  </si>
  <si>
    <t>MJ-0495</t>
  </si>
  <si>
    <t>漫剧品牌G-账号-0495</t>
  </si>
  <si>
    <t>MJ-0480</t>
  </si>
  <si>
    <t>漫剧品牌C-账号-0480</t>
  </si>
  <si>
    <t>MJ-0288</t>
  </si>
  <si>
    <t>漫剧品牌F-账号-0288</t>
  </si>
  <si>
    <t>MJ-0090</t>
  </si>
  <si>
    <t>漫剧品牌D-账号-0090</t>
  </si>
  <si>
    <t>MJ-0106</t>
  </si>
  <si>
    <t>漫剧品牌C-账号-0106</t>
  </si>
  <si>
    <t>MJ-0170</t>
  </si>
  <si>
    <t>漫剧品牌D-账号-0170</t>
  </si>
  <si>
    <t>MJ-0028</t>
  </si>
  <si>
    <t>漫剧品牌C-账号-0028</t>
  </si>
  <si>
    <t>MJ-0077</t>
  </si>
  <si>
    <t>漫剧品牌D-账号-0077</t>
  </si>
  <si>
    <t>MJ-0123</t>
  </si>
  <si>
    <t>漫剧品牌C-账号-0123</t>
  </si>
  <si>
    <t>MJ-0157</t>
  </si>
  <si>
    <t>漫剧品牌D-账号-0157</t>
  </si>
  <si>
    <t>MJ-0544</t>
  </si>
  <si>
    <t>漫剧品牌D-账号-0544</t>
  </si>
  <si>
    <t>MJ-0550</t>
  </si>
  <si>
    <t>漫剧品牌D-账号-0550</t>
  </si>
  <si>
    <t>MJ-0104</t>
  </si>
  <si>
    <t>漫剧品牌C-账号-0104</t>
  </si>
  <si>
    <t>MJ-0073</t>
  </si>
  <si>
    <t>漫剧品牌D-账号-0073</t>
  </si>
  <si>
    <t>MJ-0078</t>
  </si>
  <si>
    <t>漫剧品牌D-账号-0078</t>
  </si>
  <si>
    <t>MJ-0376</t>
  </si>
  <si>
    <t>漫剧品牌C-账号-0376</t>
  </si>
  <si>
    <t>MJ-0543</t>
  </si>
  <si>
    <t>漫剧品牌H-账号-0543</t>
  </si>
  <si>
    <t>MJ-0524</t>
  </si>
  <si>
    <t>漫剧品牌D-账号-0524</t>
  </si>
  <si>
    <t>MJ-0471</t>
  </si>
  <si>
    <t>漫剧品牌G-账号-0471</t>
  </si>
  <si>
    <t>MJ-0044</t>
  </si>
  <si>
    <t>漫剧品牌C-账号-0044</t>
  </si>
  <si>
    <t>MJ-0158</t>
  </si>
  <si>
    <t>漫剧品牌D-账号-0158</t>
  </si>
  <si>
    <t>MJ-0005</t>
  </si>
  <si>
    <t>漫剧品牌C-账号-0005</t>
  </si>
  <si>
    <t>MJ-0526</t>
  </si>
  <si>
    <t>漫剧品牌D-账号-0526</t>
  </si>
  <si>
    <t>MJ-0137</t>
  </si>
  <si>
    <t>漫剧品牌C-账号-0137</t>
  </si>
  <si>
    <t>MJ-0215</t>
  </si>
  <si>
    <t>漫剧品牌G-账号-0215</t>
  </si>
  <si>
    <t>MJ-0470</t>
  </si>
  <si>
    <t>漫剧品牌G-账号-0470</t>
  </si>
  <si>
    <t>MJ-0138</t>
  </si>
  <si>
    <t>漫剧品牌D-账号-0138</t>
  </si>
  <si>
    <t>MJ-0156</t>
  </si>
  <si>
    <t>漫剧品牌D-账号-0156</t>
  </si>
  <si>
    <t>MJ-0317</t>
  </si>
  <si>
    <t>漫剧品牌E-账号-0317</t>
  </si>
  <si>
    <t>MJ-0009</t>
  </si>
  <si>
    <t>漫剧品牌C-账号-0009</t>
  </si>
  <si>
    <t>MJ-0070</t>
  </si>
  <si>
    <t>漫剧品牌D-账号-0070</t>
  </si>
  <si>
    <t>MJ-0122</t>
  </si>
  <si>
    <t>漫剧品牌C-账号-0122</t>
  </si>
  <si>
    <t>MJ-0048</t>
  </si>
  <si>
    <t>漫剧品牌C-账号-0048</t>
  </si>
  <si>
    <t>MJ-0018</t>
  </si>
  <si>
    <t>漫剧品牌B-账号-0018</t>
  </si>
  <si>
    <t>MJ-0140</t>
  </si>
  <si>
    <t>漫剧品牌D-账号-0140</t>
  </si>
  <si>
    <t>MJ-0349</t>
  </si>
  <si>
    <t>漫剧品牌D-账号-0349</t>
  </si>
  <si>
    <t>MJ-0063</t>
  </si>
  <si>
    <t>漫剧品牌D-账号-0063</t>
  </si>
  <si>
    <t>MJ-0374</t>
  </si>
  <si>
    <t>漫剧品牌C-账号-0374</t>
  </si>
  <si>
    <t>MJ-0171</t>
  </si>
  <si>
    <t>漫剧品牌G-账号-0171</t>
  </si>
  <si>
    <t>MJ-0136</t>
  </si>
  <si>
    <t>漫剧品牌D-账号-0136</t>
  </si>
  <si>
    <t>MJ-0084</t>
  </si>
  <si>
    <t>漫剧品牌D-账号-0084</t>
  </si>
  <si>
    <t>MJ-0511</t>
  </si>
  <si>
    <t>漫剧品牌D-账号-0511</t>
  </si>
  <si>
    <t>MJ-0020</t>
  </si>
  <si>
    <t>漫剧品牌C-账号-0020</t>
  </si>
  <si>
    <t>MJ-0437</t>
  </si>
  <si>
    <t>漫剧品牌G-账号-0437</t>
  </si>
  <si>
    <t>MJ-0357</t>
  </si>
  <si>
    <t>漫剧品牌C-账号-0357</t>
  </si>
  <si>
    <t>MJ-0169</t>
  </si>
  <si>
    <t>漫剧品牌G-账号-0169</t>
  </si>
  <si>
    <t>MJ-0168</t>
  </si>
  <si>
    <t>漫剧品牌D-账号-0168</t>
  </si>
  <si>
    <t>MJ-0354</t>
  </si>
  <si>
    <t>漫剧品牌C-账号-0354</t>
  </si>
  <si>
    <t>MJ-0143</t>
  </si>
  <si>
    <t>漫剧品牌D-账号-0143</t>
  </si>
  <si>
    <t>MJ-0021</t>
  </si>
  <si>
    <t>漫剧品牌B-账号-0021</t>
  </si>
  <si>
    <t>MJ-0538</t>
  </si>
  <si>
    <t>漫剧品牌D-账号-0538</t>
  </si>
  <si>
    <t>MJ-0307</t>
  </si>
  <si>
    <t>漫剧品牌F-账号-0307</t>
  </si>
  <si>
    <t>MJ-0300</t>
  </si>
  <si>
    <t>漫剧品牌G-账号-0300</t>
  </si>
  <si>
    <t>MJ-0378</t>
  </si>
  <si>
    <t>漫剧品牌C-账号-0378</t>
  </si>
  <si>
    <t>MJ-0453</t>
  </si>
  <si>
    <t>漫剧品牌G-账号-0453</t>
  </si>
  <si>
    <t>MJ-0035</t>
  </si>
  <si>
    <t>漫剧品牌C-账号-0035</t>
  </si>
  <si>
    <t>MJ-0092</t>
  </si>
  <si>
    <t>漫剧品牌D-账号-0092</t>
  </si>
  <si>
    <t>MJ-0347</t>
  </si>
  <si>
    <t>漫剧品牌D-账号-0347</t>
  </si>
  <si>
    <t>MJ-0103</t>
  </si>
  <si>
    <t>漫剧品牌C-账号-0103</t>
  </si>
  <si>
    <t>MJ-0201</t>
  </si>
  <si>
    <t>漫剧品牌G-账号-0201</t>
  </si>
  <si>
    <t>MJ-0517</t>
  </si>
  <si>
    <t>漫剧品牌F-账号-0517</t>
  </si>
  <si>
    <t>MJ-0166</t>
  </si>
  <si>
    <t>漫剧品牌D-账号-0166</t>
  </si>
  <si>
    <t>MJ-0485</t>
  </si>
  <si>
    <t>漫剧品牌H-账号-0485</t>
  </si>
  <si>
    <t>MJ-0233</t>
  </si>
  <si>
    <t>漫剧品牌G-账号-0233</t>
  </si>
  <si>
    <t>MJ-0372</t>
  </si>
  <si>
    <t>漫剧品牌C-账号-0372</t>
  </si>
  <si>
    <t>MJ-0197</t>
  </si>
  <si>
    <t>漫剧品牌G-账号-0197</t>
  </si>
  <si>
    <t>MJ-0057</t>
  </si>
  <si>
    <t>漫剧品牌D-账号-0057</t>
  </si>
  <si>
    <t>MJ-0159</t>
  </si>
  <si>
    <t>漫剧品牌D-账号-0159</t>
  </si>
  <si>
    <t>MJ-0065</t>
  </si>
  <si>
    <t>漫剧品牌D-账号-0065</t>
  </si>
  <si>
    <t>MJ-0325</t>
  </si>
  <si>
    <t>漫剧品牌E-账号-0325</t>
  </si>
  <si>
    <t>MJ-0440</t>
  </si>
  <si>
    <t>漫剧品牌G-账号-0440</t>
  </si>
  <si>
    <t>MJ-0130</t>
  </si>
  <si>
    <t>漫剧品牌C-账号-0130</t>
  </si>
  <si>
    <t>MJ-0493</t>
  </si>
  <si>
    <t>漫剧品牌D-账号-0493</t>
  </si>
  <si>
    <t>MJ-0095</t>
  </si>
  <si>
    <t>漫剧品牌D-账号-0095</t>
  </si>
  <si>
    <t>MJ-0216</t>
  </si>
  <si>
    <t>漫剧品牌G-账号-0216</t>
  </si>
  <si>
    <t>MJ-0313</t>
  </si>
  <si>
    <t>漫剧品牌E-账号-0313</t>
  </si>
  <si>
    <t>MJ-0285</t>
  </si>
  <si>
    <t>漫剧品牌C-账号-0285</t>
  </si>
  <si>
    <t>MJ-0116</t>
  </si>
  <si>
    <t>漫剧品牌C-账号-0116</t>
  </si>
  <si>
    <t>MJ-0284</t>
  </si>
  <si>
    <t>漫剧品牌F-账号-0284</t>
  </si>
  <si>
    <t>MJ-0293</t>
  </si>
  <si>
    <t>漫剧品牌G-账号-0293</t>
  </si>
  <si>
    <t>MJ-0301</t>
  </si>
  <si>
    <t>漫剧品牌F-账号-0301</t>
  </si>
  <si>
    <t>MJ-0110</t>
  </si>
  <si>
    <t>漫剧品牌C-账号-0110</t>
  </si>
  <si>
    <t>MJ-0431</t>
  </si>
  <si>
    <t>漫剧品牌G-账号-0431</t>
  </si>
  <si>
    <t>MJ-0069</t>
  </si>
  <si>
    <t>漫剧品牌D-账号-0069</t>
  </si>
  <si>
    <t>MJ-0327</t>
  </si>
  <si>
    <t>漫剧品牌E-账号-0327</t>
  </si>
  <si>
    <t>MJ-0217</t>
  </si>
  <si>
    <t>漫剧品牌G-账号-0217</t>
  </si>
  <si>
    <t>MJ-0176</t>
  </si>
  <si>
    <t>漫剧品牌G-账号-0176</t>
  </si>
  <si>
    <t>MJ-0160</t>
  </si>
  <si>
    <t>漫剧品牌D-账号-0160</t>
  </si>
  <si>
    <t>MJ-0139</t>
  </si>
  <si>
    <t>漫剧品牌D-账号-0139</t>
  </si>
  <si>
    <t>MJ-0199</t>
  </si>
  <si>
    <t>漫剧品牌G-账号-0199</t>
  </si>
  <si>
    <t>MJ-0277</t>
  </si>
  <si>
    <t>漫剧品牌D-账号-0277</t>
  </si>
  <si>
    <t>MJ-0071</t>
  </si>
  <si>
    <t>漫剧品牌D-账号-0071</t>
  </si>
  <si>
    <t>MJ-0238</t>
  </si>
  <si>
    <t>漫剧品牌G-账号-0238</t>
  </si>
  <si>
    <t>MJ-0430</t>
  </si>
  <si>
    <t>漫剧品牌D-账号-0430</t>
  </si>
  <si>
    <t>MJ-0520</t>
  </si>
  <si>
    <t>漫剧品牌G-账号-0520</t>
  </si>
  <si>
    <t>MJ-0298</t>
  </si>
  <si>
    <t>漫剧品牌F-账号-0298</t>
  </si>
  <si>
    <t>MJ-0280</t>
  </si>
  <si>
    <t>漫剧品牌F-账号-0280</t>
  </si>
  <si>
    <t>MJ-0481</t>
  </si>
  <si>
    <t>漫剧品牌H-账号-0481</t>
  </si>
  <si>
    <t>MJ-0534</t>
  </si>
  <si>
    <t>漫剧品牌F-账号-0534</t>
  </si>
  <si>
    <t>MJ-0540</t>
  </si>
  <si>
    <t>漫剧品牌F-账号-0540</t>
  </si>
  <si>
    <t>MJ-0367</t>
  </si>
  <si>
    <t>漫剧品牌C-账号-0367</t>
  </si>
  <si>
    <t>MJ-0093</t>
  </si>
  <si>
    <t>漫剧品牌D-账号-0093</t>
  </si>
  <si>
    <t>MJ-0076</t>
  </si>
  <si>
    <t>漫剧品牌D-账号-0076</t>
  </si>
  <si>
    <t>MJ-0086</t>
  </si>
  <si>
    <t>漫剧品牌D-账号-0086</t>
  </si>
  <si>
    <t>MJ-0121</t>
  </si>
  <si>
    <t>漫剧品牌C-账号-0121</t>
  </si>
  <si>
    <t>MJ-0220</t>
  </si>
  <si>
    <t>漫剧品牌G-账号-0220</t>
  </si>
  <si>
    <t>MJ-0211</t>
  </si>
  <si>
    <t>漫剧品牌G-账号-0211</t>
  </si>
  <si>
    <t>MJ-0196</t>
  </si>
  <si>
    <t>漫剧品牌G-账号-0196</t>
  </si>
  <si>
    <t>MJ-0542</t>
  </si>
  <si>
    <t>漫剧品牌H-账号-0542</t>
  </si>
  <si>
    <t>MJ-0212</t>
  </si>
  <si>
    <t>漫剧品牌G-账号-0212</t>
  </si>
  <si>
    <t>MJ-0427</t>
  </si>
  <si>
    <t>漫剧品牌G-账号-0427</t>
  </si>
  <si>
    <t>MJ-0223</t>
  </si>
  <si>
    <t>漫剧品牌G-账号-0223</t>
  </si>
  <si>
    <t>MJ-0206</t>
  </si>
  <si>
    <t>漫剧品牌G-账号-0206</t>
  </si>
  <si>
    <t>MJ-0004</t>
  </si>
  <si>
    <t>漫剧品牌F-账号-0004</t>
  </si>
  <si>
    <t>MJ-0230</t>
  </si>
  <si>
    <t>漫剧品牌B-账号-0230</t>
  </si>
  <si>
    <t>MJ-0530</t>
  </si>
  <si>
    <t>漫剧品牌H-账号-0530</t>
  </si>
  <si>
    <t>MJ-0153</t>
  </si>
  <si>
    <t>漫剧品牌D-账号-0153</t>
  </si>
  <si>
    <t>MJ-0145</t>
  </si>
  <si>
    <t>漫剧品牌D-账号-0145</t>
  </si>
  <si>
    <t>MJ-0351</t>
  </si>
  <si>
    <t>漫剧品牌C-账号-0351</t>
  </si>
  <si>
    <t>MJ-0192</t>
  </si>
  <si>
    <t>漫剧品牌E-账号-0192</t>
  </si>
  <si>
    <t>MJ-0224</t>
  </si>
  <si>
    <t>漫剧品牌G-账号-0224</t>
  </si>
  <si>
    <t>MJ-0490</t>
  </si>
  <si>
    <t>漫剧品牌D-账号-0490</t>
  </si>
  <si>
    <t>MJ-0442</t>
  </si>
  <si>
    <t>漫剧品牌G-账号-0442</t>
  </si>
  <si>
    <t>MJ-0353</t>
  </si>
  <si>
    <t>漫剧品牌C-账号-0353</t>
  </si>
  <si>
    <t>MJ-0066</t>
  </si>
  <si>
    <t>漫剧品牌D-账号-0066</t>
  </si>
  <si>
    <t>MJ-0165</t>
  </si>
  <si>
    <t>漫剧品牌D-账号-0165</t>
  </si>
  <si>
    <t>MJ-0003</t>
  </si>
  <si>
    <t>漫剧品牌D-账号-0003</t>
  </si>
  <si>
    <t>MJ-0126</t>
  </si>
  <si>
    <t>漫剧品牌C-账号-0126</t>
  </si>
  <si>
    <t>MJ-0547</t>
  </si>
  <si>
    <t>漫剧品牌F-账号-0547</t>
  </si>
  <si>
    <t>MJ-0172</t>
  </si>
  <si>
    <t>漫剧品牌D-账号-0172</t>
  </si>
  <si>
    <t>MJ-0350</t>
  </si>
  <si>
    <t>漫剧品牌D-账号-0350</t>
  </si>
  <si>
    <t>MJ-0229</t>
  </si>
  <si>
    <t>漫剧品牌G-账号-0229</t>
  </si>
  <si>
    <t>MJ-0094</t>
  </si>
  <si>
    <t>漫剧品牌D-账号-0094</t>
  </si>
  <si>
    <t>MJ-0150</t>
  </si>
  <si>
    <t>漫剧品牌D-账号-0150</t>
  </si>
  <si>
    <t>MJ-0487</t>
  </si>
  <si>
    <t>漫剧品牌G-账号-0487</t>
  </si>
  <si>
    <t>MJ-0125</t>
  </si>
  <si>
    <t>漫剧品牌C-账号-0125</t>
  </si>
  <si>
    <t>MJ-0377</t>
  </si>
  <si>
    <t>漫剧品牌C-账号-0377</t>
  </si>
  <si>
    <t>MJ-0296</t>
  </si>
  <si>
    <t>漫剧品牌C-账号-0296</t>
  </si>
  <si>
    <t>MJ-0207</t>
  </si>
  <si>
    <t>漫剧品牌G-账号-0207</t>
  </si>
  <si>
    <t>MJ-0072</t>
  </si>
  <si>
    <t>漫剧品牌D-账号-0072</t>
  </si>
  <si>
    <t>MJ-0469</t>
  </si>
  <si>
    <t>漫剧品牌H-账号-0469</t>
  </si>
  <si>
    <t>MJ-0146</t>
  </si>
  <si>
    <t>漫剧品牌D-账号-0146</t>
  </si>
  <si>
    <t>MJ-0358</t>
  </si>
  <si>
    <t>漫剧品牌C-账号-0358</t>
  </si>
  <si>
    <t>MJ-0271</t>
  </si>
  <si>
    <t>漫剧品牌E-账号-0271</t>
  </si>
  <si>
    <t>MJ-0286</t>
  </si>
  <si>
    <t>漫剧品牌D-账号-0286</t>
  </si>
  <si>
    <t>MJ-0319</t>
  </si>
  <si>
    <t>漫剧品牌E-账号-0319</t>
  </si>
  <si>
    <t>MJ-0276</t>
  </si>
  <si>
    <t>漫剧品牌G-账号-0276</t>
  </si>
  <si>
    <t>MJ-0203</t>
  </si>
  <si>
    <t>漫剧品牌G-账号-0203</t>
  </si>
  <si>
    <t>MJ-0097</t>
  </si>
  <si>
    <t>漫剧品牌D-账号-0097</t>
  </si>
  <si>
    <t>MJ-0058</t>
  </si>
  <si>
    <t>漫剧品牌D-账号-0058</t>
  </si>
  <si>
    <t>MJ-0075</t>
  </si>
  <si>
    <t>漫剧品牌D-账号-0075</t>
  </si>
  <si>
    <t>MJ-0083</t>
  </si>
  <si>
    <t>漫剧品牌D-账号-0083</t>
  </si>
  <si>
    <t>MJ-0329</t>
  </si>
  <si>
    <t>漫剧品牌E-账号-0329</t>
  </si>
  <si>
    <t>MJ-0434</t>
  </si>
  <si>
    <t>漫剧品牌G-账号-0434</t>
  </si>
  <si>
    <t>MJ-0429</t>
  </si>
  <si>
    <t>漫剧品牌G-账号-0429</t>
  </si>
  <si>
    <t>MJ-0451</t>
  </si>
  <si>
    <t>漫剧品牌G-账号-0451</t>
  </si>
  <si>
    <t>MJ-0088</t>
  </si>
  <si>
    <t>漫剧品牌D-账号-0088</t>
  </si>
  <si>
    <t>MJ-0081</t>
  </si>
  <si>
    <t>漫剧品牌D-账号-0081</t>
  </si>
  <si>
    <t>MJ-0129</t>
  </si>
  <si>
    <t>漫剧品牌C-账号-0129</t>
  </si>
  <si>
    <t>MJ-0149</t>
  </si>
  <si>
    <t>漫剧品牌D-账号-0149</t>
  </si>
  <si>
    <t>MJ-0191</t>
  </si>
  <si>
    <t>漫剧品牌G-账号-0191</t>
  </si>
  <si>
    <t>MJ-0315</t>
  </si>
  <si>
    <t>漫剧品牌E-账号-0315</t>
  </si>
  <si>
    <t>MJ-0509</t>
  </si>
  <si>
    <t>漫剧品牌F-账号-0509</t>
  </si>
  <si>
    <t>MJ-0275</t>
  </si>
  <si>
    <t>漫剧品牌F-账号-0275</t>
  </si>
  <si>
    <t>MJ-0067</t>
  </si>
  <si>
    <t>漫剧品牌D-账号-0067</t>
  </si>
  <si>
    <t>MJ-0155</t>
  </si>
  <si>
    <t>漫剧品牌D-账号-0155</t>
  </si>
  <si>
    <t>MJ-0234</t>
  </si>
  <si>
    <t>漫剧品牌B-账号-0234</t>
  </si>
  <si>
    <t>MJ-0283</t>
  </si>
  <si>
    <t>漫剧品牌D-账号-0283</t>
  </si>
  <si>
    <t>MJ-0195</t>
  </si>
  <si>
    <t>漫剧品牌G-账号-0195</t>
  </si>
  <si>
    <t>MJ-0082</t>
  </si>
  <si>
    <t>漫剧品牌D-账号-0082</t>
  </si>
  <si>
    <t>MJ-0267</t>
  </si>
  <si>
    <t>漫剧品牌E-账号-0267</t>
  </si>
  <si>
    <t>MJ-0132</t>
  </si>
  <si>
    <t>漫剧品牌C-账号-0132</t>
  </si>
  <si>
    <t>MJ-0282</t>
  </si>
  <si>
    <t>漫剧品牌G-账号-0282</t>
  </si>
  <si>
    <t>MJ-0162</t>
  </si>
  <si>
    <t>漫剧品牌D-账号-0162</t>
  </si>
  <si>
    <t>MJ-0161</t>
  </si>
  <si>
    <t>漫剧品牌D-账号-0161</t>
  </si>
  <si>
    <t>MJ-0532</t>
  </si>
  <si>
    <t>漫剧品牌D-账号-0532</t>
  </si>
  <si>
    <t>MJ-0274</t>
  </si>
  <si>
    <t>漫剧品牌E-账号-0274</t>
  </si>
  <si>
    <t>MJ-0187</t>
  </si>
  <si>
    <t>漫剧品牌G-账号-0187</t>
  </si>
  <si>
    <t>MJ-0098</t>
  </si>
  <si>
    <t>漫剧品牌D-账号-0098</t>
  </si>
  <si>
    <t>MJ-0127</t>
  </si>
  <si>
    <t>漫剧品牌C-账号-0127</t>
  </si>
  <si>
    <t>MJ-0062</t>
  </si>
  <si>
    <t>漫剧品牌D-账号-0062</t>
  </si>
  <si>
    <t>MJ-0068</t>
  </si>
  <si>
    <t>漫剧品牌D-账号-0068</t>
  </si>
  <si>
    <t>MJ-0152</t>
  </si>
  <si>
    <t>漫剧品牌D-账号-0152</t>
  </si>
  <si>
    <t>MJ-0489</t>
  </si>
  <si>
    <t>漫剧品牌G-账号-0489</t>
  </si>
  <si>
    <t>MJ-0079</t>
  </si>
  <si>
    <t>漫剧品牌D-账号-0079</t>
  </si>
  <si>
    <t>MJ-0225</t>
  </si>
  <si>
    <t>漫剧品牌B-账号-0225</t>
  </si>
  <si>
    <t>MJ-0488</t>
  </si>
  <si>
    <t>漫剧品牌F-账号-0488</t>
  </si>
  <si>
    <t>MJ-0302</t>
  </si>
  <si>
    <t>漫剧品牌G-账号-0302</t>
  </si>
  <si>
    <t>MJ-0323</t>
  </si>
  <si>
    <t>漫剧品牌E-账号-0323</t>
  </si>
  <si>
    <t>MJ-0089</t>
  </si>
  <si>
    <t>漫剧品牌D-账号-0089</t>
  </si>
  <si>
    <t>MJ-0359</t>
  </si>
  <si>
    <t>漫剧品牌C-账号-0359</t>
  </si>
  <si>
    <t>MJ-0133</t>
  </si>
  <si>
    <t>漫剧品牌C-账号-0133</t>
  </si>
  <si>
    <t>MJ-0297</t>
  </si>
  <si>
    <t>漫剧品牌G-账号-0297</t>
  </si>
  <si>
    <t>MJ-0375</t>
  </si>
  <si>
    <t>漫剧品牌C-账号-0375</t>
  </si>
  <si>
    <t>MJ-0226</t>
  </si>
  <si>
    <t>漫剧品牌G-账号-0226</t>
  </si>
  <si>
    <t>MJ-0108</t>
  </si>
  <si>
    <t>漫剧品牌C-账号-0108</t>
  </si>
  <si>
    <t>MJ-0100</t>
  </si>
  <si>
    <t>漫剧品牌C-账号-0100</t>
  </si>
  <si>
    <t>MJ-0322</t>
  </si>
  <si>
    <t>漫剧品牌E-账号-0322</t>
  </si>
  <si>
    <t>MJ-0208</t>
  </si>
  <si>
    <t>漫剧品牌C-账号-0208</t>
  </si>
  <si>
    <t>MJ-0533</t>
  </si>
  <si>
    <t>漫剧品牌D-账号-0533</t>
  </si>
  <si>
    <t>MJ-0278</t>
  </si>
  <si>
    <t>漫剧品牌E-账号-0278</t>
  </si>
  <si>
    <t>MJ-0514</t>
  </si>
  <si>
    <t>漫剧品牌F-账号-0514</t>
  </si>
  <si>
    <t>MJ-0508</t>
  </si>
  <si>
    <t>漫剧品牌D-账号-0508</t>
  </si>
  <si>
    <t>MJ-0096</t>
  </si>
  <si>
    <t>漫剧品牌D-账号-0096</t>
  </si>
  <si>
    <t>MJ-0228</t>
  </si>
  <si>
    <t>漫剧品牌B-账号-0228</t>
  </si>
  <si>
    <t>MJ-0473</t>
  </si>
  <si>
    <t>漫剧品牌D-账号-0473</t>
  </si>
  <si>
    <t>MJ-0546</t>
  </si>
  <si>
    <t>漫剧品牌F-账号-0546</t>
  </si>
  <si>
    <t>MJ-0496</t>
  </si>
  <si>
    <t>漫剧品牌F-账号-0496</t>
  </si>
  <si>
    <t>MJ-0311</t>
  </si>
  <si>
    <t>漫剧品牌E-账号-0311</t>
  </si>
  <si>
    <t>MJ-0142</t>
  </si>
  <si>
    <t>漫剧品牌D-账号-0142</t>
  </si>
  <si>
    <t>MJ-0498</t>
  </si>
  <si>
    <t>漫剧品牌F-账号-0498</t>
  </si>
  <si>
    <t>MJ-0290</t>
  </si>
  <si>
    <t>漫剧品牌F-账号-0290</t>
  </si>
  <si>
    <t>MJ-0505</t>
  </si>
  <si>
    <t>漫剧品牌D-账号-0505</t>
  </si>
  <si>
    <t>MJ-0545</t>
  </si>
  <si>
    <t>漫剧品牌D-账号-0545</t>
  </si>
  <si>
    <t>MJ-0458</t>
  </si>
  <si>
    <t>漫剧品牌E-账号-0458</t>
  </si>
  <si>
    <t>MJ-0074</t>
  </si>
  <si>
    <t>漫剧品牌D-账号-0074</t>
  </si>
  <si>
    <t>MJ-0326</t>
  </si>
  <si>
    <t>漫剧品牌E-账号-0326</t>
  </si>
  <si>
    <t>MJ-0270</t>
  </si>
  <si>
    <t>漫剧品牌E-账号-0270</t>
  </si>
  <si>
    <t>MJ-0356</t>
  </si>
  <si>
    <t>漫剧品牌C-账号-0356</t>
  </si>
  <si>
    <t>MJ-0425</t>
  </si>
  <si>
    <t>漫剧品牌G-账号-0425</t>
  </si>
  <si>
    <t>MJ-0257</t>
  </si>
  <si>
    <t>漫剧品牌F-账号-0257</t>
  </si>
  <si>
    <t>MJ-0167</t>
  </si>
  <si>
    <t>漫剧品牌D-账号-0167</t>
  </si>
  <si>
    <t>MJ-0340</t>
  </si>
  <si>
    <t>漫剧品牌C-账号-0340</t>
  </si>
  <si>
    <t>MJ-0537</t>
  </si>
  <si>
    <t>漫剧品牌D-账号-0537</t>
  </si>
  <si>
    <t>MJ-0455</t>
  </si>
  <si>
    <t>漫剧品牌G-账号-0455</t>
  </si>
  <si>
    <t>MJ-0055</t>
  </si>
  <si>
    <t>漫剧品牌C-账号-0055</t>
  </si>
  <si>
    <t>MJ-0042</t>
  </si>
  <si>
    <t>漫剧品牌C-账号-0042</t>
  </si>
  <si>
    <t>MJ-0273</t>
  </si>
  <si>
    <t>漫剧品牌E-账号-0273</t>
  </si>
  <si>
    <t>MJ-0190</t>
  </si>
  <si>
    <t>漫剧品牌G-账号-0190</t>
  </si>
  <si>
    <t>MJ-0087</t>
  </si>
  <si>
    <t>漫剧品牌D-账号-0087</t>
  </si>
  <si>
    <t>MJ-0464</t>
  </si>
  <si>
    <t>漫剧品牌E-账号-0464</t>
  </si>
  <si>
    <t>MJ-0525</t>
  </si>
  <si>
    <t>漫剧品牌G-账号-0525</t>
  </si>
  <si>
    <t>MJ-0529</t>
  </si>
  <si>
    <t>漫剧品牌F-账号-0529</t>
  </si>
  <si>
    <t>MJ-0476</t>
  </si>
  <si>
    <t>漫剧品牌D-账号-0476</t>
  </si>
  <si>
    <t>MJ-0303</t>
  </si>
  <si>
    <t>漫剧品牌B-账号-0303</t>
  </si>
  <si>
    <t>MJ-0536</t>
  </si>
  <si>
    <t>漫剧品牌H-账号-0536</t>
  </si>
  <si>
    <t>MJ-0010</t>
  </si>
  <si>
    <t>漫剧品牌B-账号-0010</t>
  </si>
  <si>
    <t>MJ-0345</t>
  </si>
  <si>
    <t>漫剧品牌C-账号-0345</t>
  </si>
  <si>
    <t>MJ-0549</t>
  </si>
  <si>
    <t>漫剧品牌H-账号-0549</t>
  </si>
  <si>
    <t>MJ-0147</t>
  </si>
  <si>
    <t>漫剧品牌D-账号-0147</t>
  </si>
  <si>
    <t>MJ-0477</t>
  </si>
  <si>
    <t>漫剧品牌G-账号-0477</t>
  </si>
  <si>
    <t>MJ-0144</t>
  </si>
  <si>
    <t>漫剧品牌D-账号-0144</t>
  </si>
  <si>
    <t>MJ-0551</t>
  </si>
  <si>
    <t>漫剧品牌F-账号-0551</t>
  </si>
  <si>
    <t>MJ-0232</t>
  </si>
  <si>
    <t>漫剧品牌B-账号-0232</t>
  </si>
  <si>
    <t>MJ-0346</t>
  </si>
  <si>
    <t>漫剧品牌C-账号-0346</t>
  </si>
  <si>
    <t>MJ-0008</t>
  </si>
  <si>
    <t>漫剧品牌D-账号-0008</t>
  </si>
  <si>
    <t>MJ-0053</t>
  </si>
  <si>
    <t>漫剧品牌C-账号-0053</t>
  </si>
  <si>
    <t>MJ-0287</t>
  </si>
  <si>
    <t>漫剧品牌E-账号-0287</t>
  </si>
  <si>
    <t>MJ-0512</t>
  </si>
  <si>
    <t>漫剧品牌D-账号-0512</t>
  </si>
  <si>
    <t>MJ-0502</t>
  </si>
  <si>
    <t>漫剧品牌E-账号-0502</t>
  </si>
  <si>
    <t>MJ-0080</t>
  </si>
  <si>
    <t>漫剧品牌C-账号-0080</t>
  </si>
  <si>
    <t>MJ-0528</t>
  </si>
  <si>
    <t>漫剧品牌F-账号-0528</t>
  </si>
  <si>
    <t>MJ-0141</t>
  </si>
  <si>
    <t>漫剧品牌D-账号-0141</t>
  </si>
  <si>
    <t>MJ-0483</t>
  </si>
  <si>
    <t>漫剧品牌G-账号-0483</t>
  </si>
  <si>
    <t>MJ-0163</t>
  </si>
  <si>
    <t>漫剧品牌A-账号-0163</t>
  </si>
  <si>
    <t>漫剧品牌A</t>
  </si>
  <si>
    <t>MJ-0523</t>
  </si>
  <si>
    <t>漫剧品牌F-账号-0523</t>
  </si>
  <si>
    <t>MJ-0052</t>
  </si>
  <si>
    <t>漫剧品牌C-账号-0052</t>
  </si>
  <si>
    <t>MJ-0294</t>
  </si>
  <si>
    <t>漫剧品牌F-账号-0294</t>
  </si>
  <si>
    <t>MJ-0331</t>
  </si>
  <si>
    <t>漫剧品牌C-账号-0331</t>
  </si>
  <si>
    <t>MJ-0499</t>
  </si>
  <si>
    <t>漫剧品牌H-账号-0499</t>
  </si>
  <si>
    <t>MJ-0333</t>
  </si>
  <si>
    <t>漫剧品牌C-账号-0333</t>
  </si>
  <si>
    <t>MJ-0339</t>
  </si>
  <si>
    <t>漫剧品牌C-账号-0339</t>
  </si>
  <si>
    <t>MJ-0341</t>
  </si>
  <si>
    <t>漫剧品牌C-账号-0341</t>
  </si>
  <si>
    <t>MJ-0539</t>
  </si>
  <si>
    <t>漫剧品牌F-账号-0539</t>
  </si>
  <si>
    <t>MJ-0085</t>
  </si>
  <si>
    <t>漫剧品牌C-账号-0085</t>
  </si>
  <si>
    <t>MJ-0344</t>
  </si>
  <si>
    <t>漫剧品牌C-账号-0344</t>
  </si>
  <si>
    <t>MJ-0051</t>
  </si>
  <si>
    <t>漫剧品牌C-账号-0051</t>
  </si>
  <si>
    <t>MJ-0151</t>
  </si>
  <si>
    <t>漫剧品牌D-账号-0151</t>
  </si>
  <si>
    <t>MJ-0338</t>
  </si>
  <si>
    <t>漫剧品牌C-账号-0338</t>
  </si>
  <si>
    <t>MJ-0247</t>
  </si>
  <si>
    <t>漫剧品牌C-账号-0247</t>
  </si>
  <si>
    <t>MJ-0272</t>
  </si>
  <si>
    <t>漫剧品牌C-账号-0272</t>
  </si>
  <si>
    <t>MJ-0040</t>
  </si>
  <si>
    <t>漫剧品牌C-账号-0040</t>
  </si>
  <si>
    <t>MJ-0252</t>
  </si>
  <si>
    <t>漫剧品牌F-账号-0252</t>
  </si>
  <si>
    <t>MJ-0334</t>
  </si>
  <si>
    <t>漫剧品牌C-账号-0334</t>
  </si>
  <si>
    <t>MJ-0253</t>
  </si>
  <si>
    <t>漫剧品牌C-账号-0253</t>
  </si>
  <si>
    <t>MJ-0249</t>
  </si>
  <si>
    <t>漫剧品牌B-账号-0249</t>
  </si>
  <si>
    <t>MJ-0527</t>
  </si>
  <si>
    <t>漫剧品牌D-账号-0527</t>
  </si>
  <si>
    <t>MJ-0336</t>
  </si>
  <si>
    <t>漫剧品牌C-账号-0336</t>
  </si>
  <si>
    <t>MJ-0389</t>
  </si>
  <si>
    <t>漫剧品牌A-账号-0389</t>
  </si>
  <si>
    <t>MJ-0299</t>
  </si>
  <si>
    <t>漫剧品牌C-账号-0299</t>
  </si>
  <si>
    <t>MJ-0255</t>
  </si>
  <si>
    <t>漫剧品牌B-账号-0255</t>
  </si>
  <si>
    <t>MJ-0448</t>
  </si>
  <si>
    <t>漫剧品牌B-账号-0448</t>
  </si>
  <si>
    <t>MJ-0258</t>
  </si>
  <si>
    <t>漫剧品牌B-账号-0258</t>
  </si>
  <si>
    <t>MJ-0033</t>
  </si>
  <si>
    <t>漫剧品牌C-账号-0033</t>
  </si>
  <si>
    <t>MJ-0386</t>
  </si>
  <si>
    <t>漫剧品牌A-账号-0386</t>
  </si>
  <si>
    <t>MJ-0240</t>
  </si>
  <si>
    <t>漫剧品牌B-账号-0240</t>
  </si>
  <si>
    <t>MJ-0332</t>
  </si>
  <si>
    <t>漫剧品牌C-账号-0332</t>
  </si>
  <si>
    <t>MJ-0245</t>
  </si>
  <si>
    <t>漫剧品牌B-账号-0245</t>
  </si>
  <si>
    <t>MJ-0522</t>
  </si>
  <si>
    <t>漫剧品牌D-账号-0522</t>
  </si>
  <si>
    <t>MJ-0446</t>
  </si>
  <si>
    <t>漫剧品牌B-账号-0446</t>
  </si>
  <si>
    <t>MJ-0383</t>
  </si>
  <si>
    <t>漫剧品牌A-账号-0383</t>
  </si>
  <si>
    <t>MJ-0002</t>
  </si>
  <si>
    <t>漫剧品牌B-账号-0002</t>
  </si>
  <si>
    <t>MJ-0452</t>
  </si>
  <si>
    <t>漫剧品牌B-账号-0452</t>
  </si>
  <si>
    <t>MJ-0214</t>
  </si>
  <si>
    <t>漫剧品牌B-账号-0214</t>
  </si>
  <si>
    <t>MJ-0268</t>
  </si>
  <si>
    <t>漫剧品牌C-账号-0268</t>
  </si>
  <si>
    <t>MJ-0407</t>
  </si>
  <si>
    <t>漫剧品牌B-账号-0407</t>
  </si>
  <si>
    <t>MJ-0260</t>
  </si>
  <si>
    <t>漫剧品牌C-账号-0260</t>
  </si>
  <si>
    <t>MJ-0450</t>
  </si>
  <si>
    <t>漫剧品牌B-账号-0450</t>
  </si>
  <si>
    <t>MJ-0330</t>
  </si>
  <si>
    <t>漫剧品牌C-账号-0330</t>
  </si>
  <si>
    <t>MJ-0289</t>
  </si>
  <si>
    <t>漫剧品牌C-账号-0289</t>
  </si>
  <si>
    <t>MJ-0335</t>
  </si>
  <si>
    <t>漫剧品牌C-账号-0335</t>
  </si>
  <si>
    <t>MJ-0515</t>
  </si>
  <si>
    <t>漫剧品牌E-账号-0515</t>
  </si>
  <si>
    <t>MJ-0032</t>
  </si>
  <si>
    <t>漫剧品牌C-账号-0032</t>
  </si>
  <si>
    <t>MJ-0516</t>
  </si>
  <si>
    <t>漫剧品牌D-账号-0516</t>
  </si>
  <si>
    <t>MJ-0264</t>
  </si>
  <si>
    <t>漫剧品牌C-账号-0264</t>
  </si>
  <si>
    <t>MJ-0445</t>
  </si>
  <si>
    <t>漫剧品牌D-账号-0445</t>
  </si>
  <si>
    <t>MJ-0337</t>
  </si>
  <si>
    <t>漫剧品牌C-账号-0337</t>
  </si>
  <si>
    <t>MJ-0295</t>
  </si>
  <si>
    <t>漫剧品牌C-账号-0295</t>
  </si>
  <si>
    <t>MJ-0392</t>
  </si>
  <si>
    <t>漫剧品牌A-账号-0392</t>
  </si>
  <si>
    <t>MJ-0262</t>
  </si>
  <si>
    <t>漫剧品牌B-账号-0262</t>
  </si>
  <si>
    <t>MJ-0343</t>
  </si>
  <si>
    <t>漫剧品牌C-账号-0343</t>
  </si>
  <si>
    <t>MJ-0178</t>
  </si>
  <si>
    <t>漫剧品牌A-账号-0178</t>
  </si>
  <si>
    <t>MJ-0246</t>
  </si>
  <si>
    <t>漫剧品牌B-账号-0246</t>
  </si>
  <si>
    <t>MJ-0265</t>
  </si>
  <si>
    <t>漫剧品牌B-账号-0265</t>
  </si>
  <si>
    <t>MJ-0342</t>
  </si>
  <si>
    <t>漫剧品牌C-账号-0342</t>
  </si>
  <si>
    <t>MJ-0243</t>
  </si>
  <si>
    <t>漫剧品牌B-账号-0243</t>
  </si>
  <si>
    <t>MJ-0266</t>
  </si>
  <si>
    <t>漫剧品牌B-账号-0266</t>
  </si>
  <si>
    <t>MJ-0047</t>
  </si>
  <si>
    <t>漫剧品牌B-账号-0047</t>
  </si>
  <si>
    <t>MJ-0401</t>
  </si>
  <si>
    <t>漫剧品牌B-账号-0401</t>
  </si>
  <si>
    <t>MJ-0221</t>
  </si>
  <si>
    <t>漫剧品牌B-账号-0221</t>
  </si>
  <si>
    <t>MJ-0388</t>
  </si>
  <si>
    <t>漫剧品牌B-账号-0388</t>
  </si>
  <si>
    <t>MJ-0175</t>
  </si>
  <si>
    <t>漫剧品牌A-账号-0175</t>
  </si>
  <si>
    <t>MJ-0031</t>
  </si>
  <si>
    <t>漫剧品牌B-账号-0031</t>
  </si>
  <si>
    <t>MJ-0184</t>
  </si>
  <si>
    <t>漫剧品牌A-账号-0184</t>
  </si>
  <si>
    <t>MJ-0391</t>
  </si>
  <si>
    <t>漫剧品牌B-账号-0391</t>
  </si>
  <si>
    <t>MJ-0007</t>
  </si>
  <si>
    <t>漫剧品牌B-账号-0007</t>
  </si>
  <si>
    <t>MJ-0254</t>
  </si>
  <si>
    <t>漫剧品牌B-账号-0254</t>
  </si>
  <si>
    <t>MJ-0024</t>
  </si>
  <si>
    <t>漫剧品牌B-账号-0024</t>
  </si>
  <si>
    <t>MJ-0034</t>
  </si>
  <si>
    <t>漫剧品牌B-账号-0034</t>
  </si>
  <si>
    <t>MJ-0291</t>
  </si>
  <si>
    <t>漫剧品牌C-账号-0291</t>
  </si>
  <si>
    <t>MJ-0478</t>
  </si>
  <si>
    <t>漫剧品牌G-账号-0478</t>
  </si>
  <si>
    <t>MJ-0443</t>
  </si>
  <si>
    <t>漫剧品牌B-账号-0443</t>
  </si>
  <si>
    <t>MJ-0416</t>
  </si>
  <si>
    <t>漫剧品牌B-账号-0416</t>
  </si>
  <si>
    <t>MJ-0438</t>
  </si>
  <si>
    <t>漫剧品牌B-账号-0438</t>
  </si>
  <si>
    <t>MJ-0420</t>
  </si>
  <si>
    <t>漫剧品牌B-账号-0420</t>
  </si>
  <si>
    <t>MJ-0256</t>
  </si>
  <si>
    <t>漫剧品牌B-账号-0256</t>
  </si>
  <si>
    <t>MJ-0380</t>
  </si>
  <si>
    <t>漫剧品牌A-账号-0380</t>
  </si>
  <si>
    <t>MJ-0016</t>
  </si>
  <si>
    <t>漫剧品牌B-账号-0016</t>
  </si>
  <si>
    <t>MJ-0261</t>
  </si>
  <si>
    <t>漫剧品牌B-账号-0261</t>
  </si>
  <si>
    <t>MJ-0402</t>
  </si>
  <si>
    <t>漫剧品牌B-账号-0402</t>
  </si>
  <si>
    <t>MJ-0027</t>
  </si>
  <si>
    <t>漫剧品牌B-账号-0027</t>
  </si>
  <si>
    <t>MJ-0382</t>
  </si>
  <si>
    <t>漫剧品牌B-账号-0382</t>
  </si>
  <si>
    <t>MJ-0259</t>
  </si>
  <si>
    <t>漫剧品牌B-账号-0259</t>
  </si>
  <si>
    <t>MJ-0050</t>
  </si>
  <si>
    <t>漫剧品牌B-账号-0050</t>
  </si>
  <si>
    <t>MJ-0056</t>
  </si>
  <si>
    <t>漫剧品牌B-账号-0056</t>
  </si>
  <si>
    <t>MJ-0185</t>
  </si>
  <si>
    <t>漫剧品牌A-账号-0185</t>
  </si>
  <si>
    <t>MJ-0026</t>
  </si>
  <si>
    <t>漫剧品牌B-账号-0026</t>
  </si>
  <si>
    <t>MJ-0406</t>
  </si>
  <si>
    <t>漫剧品牌B-账号-0406</t>
  </si>
  <si>
    <t>MJ-0447</t>
  </si>
  <si>
    <t>漫剧品牌B-账号-0447</t>
  </si>
  <si>
    <t>MJ-0417</t>
  </si>
  <si>
    <t>漫剧品牌B-账号-0417</t>
  </si>
  <si>
    <t>MJ-0174</t>
  </si>
  <si>
    <t>漫剧品牌A-账号-0174</t>
  </si>
  <si>
    <t>MJ-0173</t>
  </si>
  <si>
    <t>漫剧品牌A-账号-0173</t>
  </si>
  <si>
    <t>MJ-0409</t>
  </si>
  <si>
    <t>漫剧品牌D-账号-0409</t>
  </si>
  <si>
    <t>MJ-0023</t>
  </si>
  <si>
    <t>漫剧品牌B-账号-0023</t>
  </si>
  <si>
    <t>MJ-0390</t>
  </si>
  <si>
    <t>漫剧品牌B-账号-0390</t>
  </si>
  <si>
    <t>MJ-0463</t>
  </si>
  <si>
    <t>漫剧品牌H-账号-0463</t>
  </si>
  <si>
    <t>MJ-0418</t>
  </si>
  <si>
    <t>漫剧品牌D-账号-0418</t>
  </si>
  <si>
    <t>MJ-0213</t>
  </si>
  <si>
    <t>漫剧品牌B-账号-0213</t>
  </si>
  <si>
    <t>MJ-0218</t>
  </si>
  <si>
    <t>漫剧品牌B-账号-0218</t>
  </si>
  <si>
    <t>MJ-0037</t>
  </si>
  <si>
    <t>漫剧品牌B-账号-0037</t>
  </si>
  <si>
    <t>MJ-0038</t>
  </si>
  <si>
    <t>漫剧品牌B-账号-0038</t>
  </si>
  <si>
    <t>MJ-0412</t>
  </si>
  <si>
    <t>漫剧品牌B-账号-0412</t>
  </si>
  <si>
    <t>MJ-0251</t>
  </si>
  <si>
    <t>漫剧品牌B-账号-0251</t>
  </si>
  <si>
    <t>MJ-0519</t>
  </si>
  <si>
    <t>漫剧品牌D-账号-0519</t>
  </si>
  <si>
    <t>MJ-0014</t>
  </si>
  <si>
    <t>漫剧品牌B-账号-0014</t>
  </si>
  <si>
    <t>MJ-0030</t>
  </si>
  <si>
    <t>漫剧品牌B-账号-0030</t>
  </si>
  <si>
    <t>MJ-0381</t>
  </si>
  <si>
    <t>漫剧品牌A-账号-0381</t>
  </si>
  <si>
    <t>MJ-0019</t>
  </si>
  <si>
    <t>漫剧品牌B-账号-0019</t>
  </si>
  <si>
    <t>MJ-0400</t>
  </si>
  <si>
    <t>漫剧品牌B-账号-0400</t>
  </si>
  <si>
    <t>MJ-0428</t>
  </si>
  <si>
    <t>漫剧品牌B-账号-0428</t>
  </si>
  <si>
    <t>MJ-0043</t>
  </si>
  <si>
    <t>漫剧品牌B-账号-0043</t>
  </si>
  <si>
    <t>MJ-0181</t>
  </si>
  <si>
    <t>漫剧品牌A-账号-0181</t>
  </si>
  <si>
    <t>MJ-0022</t>
  </si>
  <si>
    <t>漫剧品牌B-账号-0022</t>
  </si>
  <si>
    <t>MJ-0180</t>
  </si>
  <si>
    <t>漫剧品牌A-账号-0180</t>
  </si>
  <si>
    <t>MJ-0041</t>
  </si>
  <si>
    <t>漫剧品牌B-账号-0041</t>
  </si>
  <si>
    <t>MJ-0403</t>
  </si>
  <si>
    <t>漫剧品牌D-账号-0403</t>
  </si>
  <si>
    <t>MJ-0054</t>
  </si>
  <si>
    <t>漫剧品牌B-账号-0054</t>
  </si>
  <si>
    <t>MJ-0237</t>
  </si>
  <si>
    <t>漫剧品牌B-账号-0237</t>
  </si>
  <si>
    <t>MJ-0188</t>
  </si>
  <si>
    <t>漫剧品牌A-账号-0188</t>
  </si>
  <si>
    <t>MJ-0231</t>
  </si>
  <si>
    <t>漫剧品牌B-账号-0231</t>
  </si>
  <si>
    <t>MJ-0426</t>
  </si>
  <si>
    <t>漫剧品牌B-账号-0426</t>
  </si>
  <si>
    <t>MJ-0029</t>
  </si>
  <si>
    <t>漫剧品牌C-账号-0029</t>
  </si>
  <si>
    <t>MJ-0432</t>
  </si>
  <si>
    <t>漫剧品牌D-账号-0432</t>
  </si>
  <si>
    <t>MJ-0415</t>
  </si>
  <si>
    <t>漫剧品牌B-账号-0415</t>
  </si>
  <si>
    <t>MJ-0200</t>
  </si>
  <si>
    <t>漫剧品牌B-账号-0200</t>
  </si>
  <si>
    <t>MJ-0394</t>
  </si>
  <si>
    <t>漫剧品牌B-账号-0394</t>
  </si>
  <si>
    <t>MJ-0183</t>
  </si>
  <si>
    <t>漫剧品牌G-账号-0183</t>
  </si>
  <si>
    <t>MJ-0397</t>
  </si>
  <si>
    <t>漫剧品牌B-账号-0397</t>
  </si>
  <si>
    <t>MJ-0385</t>
  </si>
  <si>
    <t>漫剧品牌B-账号-0385</t>
  </si>
  <si>
    <t>MJ-0384</t>
  </si>
  <si>
    <t>漫剧品牌A-账号-0384</t>
  </si>
  <si>
    <t>MJ-0046</t>
  </si>
  <si>
    <t>漫剧品牌B-账号-0046</t>
  </si>
  <si>
    <t>MJ-0209</t>
  </si>
  <si>
    <t>漫剧品牌B-账号-0209</t>
  </si>
  <si>
    <t>MJ-0248</t>
  </si>
  <si>
    <t>漫剧品牌B-账号-0248</t>
  </si>
  <si>
    <t>MJ-0164</t>
  </si>
  <si>
    <t>漫剧品牌A-账号-0164</t>
  </si>
  <si>
    <t>MJ-0177</t>
  </si>
  <si>
    <t>漫剧品牌A-账号-0177</t>
  </si>
  <si>
    <t>MJ-0045</t>
  </si>
  <si>
    <t>漫剧品牌C-账号-0045</t>
  </si>
  <si>
    <t>MJ-0506</t>
  </si>
  <si>
    <t>漫剧品牌E-账号-0506</t>
  </si>
  <si>
    <t>MJ-0235</t>
  </si>
  <si>
    <t>漫剧品牌B-账号-0235</t>
  </si>
  <si>
    <t>MJ-0269</t>
  </si>
  <si>
    <t>漫剧品牌B-账号-0269</t>
  </si>
  <si>
    <t>MJ-0424</t>
  </si>
  <si>
    <t>漫剧品牌A-账号-0424</t>
  </si>
  <si>
    <t>MJ-0205</t>
  </si>
  <si>
    <t>漫剧品牌B-账号-0205</t>
  </si>
  <si>
    <t>MJ-0444</t>
  </si>
  <si>
    <t>漫剧品牌B-账号-0444</t>
  </si>
  <si>
    <t>MJ-0244</t>
  </si>
  <si>
    <t>漫剧品牌B-账号-0244</t>
  </si>
  <si>
    <t>MJ-0395</t>
  </si>
  <si>
    <t>漫剧品牌A-账号-0395</t>
  </si>
  <si>
    <t>MJ-0422</t>
  </si>
  <si>
    <t>漫剧品牌A-账号-0422</t>
  </si>
  <si>
    <t>MJ-0435</t>
  </si>
  <si>
    <t>漫剧品牌B-账号-0435</t>
  </si>
  <si>
    <t>MJ-0318</t>
  </si>
  <si>
    <t>漫剧品牌C-账号-0318</t>
  </si>
  <si>
    <t>MJ-0369</t>
  </si>
  <si>
    <t>漫剧品牌C-账号-0369</t>
  </si>
  <si>
    <t>MJ-0404</t>
  </si>
  <si>
    <t>漫剧品牌A-账号-0404</t>
  </si>
  <si>
    <t>MJ-0049</t>
  </si>
  <si>
    <t>漫剧品牌C-账号-0049</t>
  </si>
  <si>
    <t>MJ-0411</t>
  </si>
  <si>
    <t>漫剧品牌B-账号-0411</t>
  </si>
  <si>
    <t>MJ-0365</t>
  </si>
  <si>
    <t>漫剧品牌C-账号-0365</t>
  </si>
  <si>
    <t>MJ-0012</t>
  </si>
  <si>
    <t>漫剧品牌B-账号-0012</t>
  </si>
  <si>
    <t>MJ-0491</t>
  </si>
  <si>
    <t>漫剧品牌E-账号-0491</t>
  </si>
  <si>
    <t>MJ-0117</t>
  </si>
  <si>
    <t>漫剧品牌C-账号-0117</t>
  </si>
  <si>
    <t>MJ-0352</t>
  </si>
  <si>
    <t>漫剧品牌C-账号-0352</t>
  </si>
  <si>
    <t>MJ-0366</t>
  </si>
  <si>
    <t>漫剧品牌C-账号-0366</t>
  </si>
  <si>
    <t>MJ-0219</t>
  </si>
  <si>
    <t>漫剧品牌G-账号-0219</t>
  </si>
  <si>
    <t>MJ-0324</t>
  </si>
  <si>
    <t>漫剧品牌C-账号-0324</t>
  </si>
  <si>
    <t>MJ-0328</t>
  </si>
  <si>
    <t>漫剧品牌C-账号-0328</t>
  </si>
  <si>
    <t>MJ-0202</t>
  </si>
  <si>
    <t>漫剧品牌G-账号-0202</t>
  </si>
  <si>
    <t>MJ-0371</t>
  </si>
  <si>
    <t>漫剧品牌C-账号-0371</t>
  </si>
  <si>
    <t>MJ-0439</t>
  </si>
  <si>
    <t>漫剧品牌D-账号-0439</t>
  </si>
  <si>
    <t>MJ-0309</t>
  </si>
  <si>
    <t>漫剧品牌C-账号-0309</t>
  </si>
  <si>
    <t>MJ-0198</t>
  </si>
  <si>
    <t>漫剧品牌G-账号-0198</t>
  </si>
  <si>
    <t>MJ-0364</t>
  </si>
  <si>
    <t>漫剧品牌C-账号-0364</t>
  </si>
  <si>
    <t>MJ-0222</t>
  </si>
  <si>
    <t>漫剧品牌G-账号-0222</t>
  </si>
  <si>
    <t>MJ-0408</t>
  </si>
  <si>
    <t>漫剧品牌D-账号-0408</t>
  </si>
  <si>
    <t>MJ-0494</t>
  </si>
  <si>
    <t>漫剧品牌E-账号-0494</t>
  </si>
  <si>
    <t>MJ-0410</t>
  </si>
  <si>
    <t>漫剧品牌A-账号-0410</t>
  </si>
  <si>
    <t>MJ-0497</t>
  </si>
  <si>
    <t>漫剧品牌E-账号-0497</t>
  </si>
  <si>
    <t>MJ-0316</t>
  </si>
  <si>
    <t>漫剧品牌C-账号-0316</t>
  </si>
  <si>
    <t>MJ-0236</t>
  </si>
  <si>
    <t>漫剧品牌G-账号-0236</t>
  </si>
  <si>
    <t>MJ-0500</t>
  </si>
  <si>
    <t>漫剧品牌E-账号-0500</t>
  </si>
  <si>
    <t>MJ-0015</t>
  </si>
  <si>
    <t>漫剧品牌B-账号-0015</t>
  </si>
  <si>
    <t>MJ-0441</t>
  </si>
  <si>
    <t>漫剧品牌D-账号-0441</t>
  </si>
  <si>
    <t>MJ-0017</t>
  </si>
  <si>
    <t>漫剧品牌C-账号-0017</t>
  </si>
  <si>
    <t>MJ-0393</t>
  </si>
  <si>
    <t>漫剧品牌A-账号-0393</t>
  </si>
  <si>
    <t>MJ-0361</t>
  </si>
  <si>
    <t>漫剧品牌C-账号-0361</t>
  </si>
  <si>
    <t>MJ-0396</t>
  </si>
  <si>
    <t>漫剧品牌A-账号-0396</t>
  </si>
  <si>
    <t>MJ-0399</t>
  </si>
  <si>
    <t>漫剧品牌A-账号-0399</t>
  </si>
  <si>
    <t>MJ-0186</t>
  </si>
  <si>
    <t>漫剧品牌A-账号-0186</t>
  </si>
  <si>
    <t>MJ-0387</t>
  </si>
  <si>
    <t>漫剧品牌A-账号-0387</t>
  </si>
  <si>
    <t>MJ-0398</t>
  </si>
  <si>
    <t>漫剧品牌D-账号-0398</t>
  </si>
  <si>
    <t>MJ-0363</t>
  </si>
  <si>
    <t>漫剧品牌C-账号-0363</t>
  </si>
  <si>
    <t>MJ-0312</t>
  </si>
  <si>
    <t>漫剧品牌C-账号-0312</t>
  </si>
  <si>
    <t>MJ-0241</t>
  </si>
  <si>
    <t>漫剧品牌G-账号-0241</t>
  </si>
  <si>
    <t>MJ-0320</t>
  </si>
  <si>
    <t>漫剧品牌C-账号-0320</t>
  </si>
  <si>
    <t>MJ-0227</t>
  </si>
  <si>
    <t>漫剧品牌G-账号-0227</t>
  </si>
  <si>
    <t>MJ-0193</t>
  </si>
  <si>
    <t>漫剧品牌A-账号-0193</t>
  </si>
  <si>
    <t>MJ-0413</t>
  </si>
  <si>
    <t>漫剧品牌D-账号-0413</t>
  </si>
  <si>
    <t>MJ-0368</t>
  </si>
  <si>
    <t>漫剧品牌C-账号-0368</t>
  </si>
  <si>
    <t>MJ-0405</t>
  </si>
  <si>
    <t>漫剧品牌A-账号-0405</t>
  </si>
  <si>
    <t>MJ-0423</t>
  </si>
  <si>
    <t>漫剧品牌A-账号-0423</t>
  </si>
  <si>
    <t>MJ-0436</t>
  </si>
  <si>
    <t>漫剧品牌D-账号-0436</t>
  </si>
  <si>
    <t>MJ-0179</t>
  </si>
  <si>
    <t>漫剧品牌G-账号-0179</t>
  </si>
  <si>
    <t>MJ-0433</t>
  </si>
  <si>
    <t>漫剧品牌A-账号-0433</t>
  </si>
  <si>
    <t>MJ-0421</t>
  </si>
  <si>
    <t>漫剧品牌D-账号-0421</t>
  </si>
  <si>
    <t>MJ-0314</t>
  </si>
  <si>
    <t>漫剧品牌C-账号-0314</t>
  </si>
  <si>
    <t>MJ-0182</t>
  </si>
  <si>
    <t>漫剧品牌A-账号-0182</t>
  </si>
  <si>
    <t>MJ-0414</t>
  </si>
  <si>
    <t>漫剧品牌A-账号-0414</t>
  </si>
  <si>
    <t>MJ-0189</t>
  </si>
  <si>
    <t>漫剧品牌A-账号-0189</t>
  </si>
  <si>
    <t>MJ-0419</t>
  </si>
  <si>
    <t>漫剧品牌A-账号-0419</t>
  </si>
  <si>
    <t>MJ-0308</t>
  </si>
  <si>
    <t>漫剧品牌C-账号-0308</t>
  </si>
  <si>
    <t>MJ-0475</t>
  </si>
  <si>
    <t>漫剧品牌F-账号-0475</t>
  </si>
  <si>
    <t>MJ-0091</t>
  </si>
  <si>
    <t>漫剧品牌C-账号-0091</t>
  </si>
  <si>
    <t>MJ-0011</t>
  </si>
  <si>
    <t>漫剧品牌F-账号-0011</t>
  </si>
  <si>
    <t>MJ-0379</t>
  </si>
  <si>
    <t>漫剧品牌D-账号-0379</t>
  </si>
  <si>
    <t>MJ-0263</t>
  </si>
  <si>
    <t>漫剧品牌C-账号-0263</t>
  </si>
  <si>
    <t>MJ-0013</t>
  </si>
  <si>
    <t>漫剧品牌F-账号-0013</t>
  </si>
  <si>
    <t>MJ-0468</t>
  </si>
  <si>
    <t>漫剧品牌F-账号-0468</t>
  </si>
  <si>
    <t>MJ-0064</t>
  </si>
  <si>
    <t>漫剧品牌C-账号-0064</t>
  </si>
  <si>
    <t>MJ-0306</t>
  </si>
  <si>
    <t>漫剧品牌C-账号-0306</t>
  </si>
  <si>
    <t>MJ-0535</t>
  </si>
  <si>
    <t>漫剧品牌F-账号-0535</t>
  </si>
  <si>
    <t>MJ-0461</t>
  </si>
  <si>
    <t>漫剧品牌C-账号-0461</t>
  </si>
  <si>
    <t>MJ-0548</t>
  </si>
  <si>
    <t>漫剧品牌F-账号-0548</t>
  </si>
  <si>
    <t>MJ-0541</t>
  </si>
  <si>
    <t>漫剧品牌F-账号-0541</t>
  </si>
  <si>
    <t>MJ-0279</t>
  </si>
  <si>
    <t>漫剧品牌C-账号-0279</t>
  </si>
  <si>
    <t>MJ-0513</t>
  </si>
  <si>
    <t>漫剧品牌C-账号-0513</t>
  </si>
  <si>
    <t>MJ-0305</t>
  </si>
  <si>
    <t>漫剧品牌F-账号-0305</t>
  </si>
  <si>
    <t>MJ-0462</t>
  </si>
  <si>
    <t>漫剧品牌F-账号-0462</t>
  </si>
  <si>
    <t>求和项:展示量</t>
  </si>
  <si>
    <t>求和项:整体实收总消耗</t>
  </si>
  <si>
    <t>求和项:点击量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</si>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</sst>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_ "/>
    <numFmt numFmtId="178" formatCode="#,##0.00000"/>
    <numFmt numFmtId="179" formatCode="0.0000_ "/>
    <numFmt numFmtId="180" formatCode="0.000_);[Red]\(0.000\)"/>
  </numFmts>
  <fonts count="33">
    <font>
      <sz val="11"/>
      <name val="Carlito"/>
      <charset val="134"/>
    </font>
    <font>
      <sz val="11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243247"/>
      <name val="微软雅黑"/>
      <charset val="134"/>
    </font>
    <font>
      <sz val="10"/>
      <color rgb="FF243247"/>
      <name val="微软雅黑"/>
      <charset val="134"/>
    </font>
    <font>
      <sz val="10"/>
      <color rgb="FF1F2937"/>
      <name val="微软雅黑"/>
      <charset val="134"/>
    </font>
    <font>
      <sz val="9"/>
      <color rgb="FF243247"/>
      <name val="微软雅黑"/>
      <charset val="134"/>
    </font>
    <font>
      <sz val="10"/>
      <name val="微软雅黑"/>
      <charset val="134"/>
    </font>
    <font>
      <b/>
      <sz val="18"/>
      <color rgb="FFFFFFFF"/>
      <name val="微软雅黑"/>
      <charset val="134"/>
    </font>
    <font>
      <b/>
      <sz val="11"/>
      <color rgb="FF1F2937"/>
      <name val="微软雅黑"/>
      <charset val="134"/>
    </font>
    <font>
      <sz val="11"/>
      <color rgb="FF1F2937"/>
      <name val="微软雅黑"/>
      <charset val="134"/>
    </font>
    <font>
      <sz val="11"/>
      <color rgb="FF1F2937"/>
      <name val="Microsoft YaHei"/>
      <charset val="134"/>
    </font>
    <font>
      <b/>
      <sz val="11"/>
      <color rgb="FF1F2937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E2E8F0"/>
      </right>
      <top style="thin">
        <color auto="1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auto="1"/>
      </top>
      <bottom style="thin">
        <color rgb="FFE2E8F0"/>
      </bottom>
      <diagonal/>
    </border>
    <border>
      <left style="thin">
        <color rgb="FFE2E8F0"/>
      </left>
      <right style="thin">
        <color auto="1"/>
      </right>
      <top style="thin">
        <color auto="1"/>
      </top>
      <bottom style="thin">
        <color rgb="FFE2E8F0"/>
      </bottom>
      <diagonal/>
    </border>
    <border>
      <left style="thin">
        <color auto="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auto="1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rgb="FFE2E8F0"/>
      </right>
      <top style="thin">
        <color rgb="FFE2E8F0"/>
      </top>
      <bottom style="thin">
        <color auto="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auto="1"/>
      </bottom>
      <diagonal/>
    </border>
    <border>
      <left style="thin">
        <color rgb="FFE2E8F0"/>
      </left>
      <right style="thin">
        <color auto="1"/>
      </right>
      <top style="thin">
        <color rgb="FFE2E8F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1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20" applyNumberFormat="0" applyAlignment="0" applyProtection="0">
      <alignment vertical="center"/>
    </xf>
    <xf numFmtId="0" fontId="23" fillId="8" borderId="21" applyNumberFormat="0" applyAlignment="0" applyProtection="0">
      <alignment vertical="center"/>
    </xf>
    <xf numFmtId="0" fontId="24" fillId="8" borderId="20" applyNumberFormat="0" applyAlignment="0" applyProtection="0">
      <alignment vertical="center"/>
    </xf>
    <xf numFmtId="0" fontId="25" fillId="9" borderId="22" applyNumberFormat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0" fillId="0" borderId="0"/>
  </cellStyleXfs>
  <cellXfs count="38">
    <xf numFmtId="0" fontId="0" fillId="0" borderId="0" xfId="49"/>
    <xf numFmtId="0" fontId="0" fillId="0" borderId="1" xfId="49" applyBorder="1"/>
    <xf numFmtId="0" fontId="0" fillId="0" borderId="0" xfId="49" applyAlignment="1">
      <alignment horizontal="center"/>
    </xf>
    <xf numFmtId="0" fontId="1" fillId="0" borderId="0" xfId="49" applyFont="1"/>
    <xf numFmtId="0" fontId="2" fillId="2" borderId="0" xfId="49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6" fontId="5" fillId="0" borderId="0" xfId="49" applyNumberFormat="1" applyFont="1" applyFill="1" applyBorder="1" applyAlignment="1">
      <alignment horizontal="center"/>
    </xf>
    <xf numFmtId="49" fontId="5" fillId="0" borderId="0" xfId="49" applyNumberFormat="1" applyFont="1" applyFill="1" applyBorder="1" applyAlignment="1">
      <alignment horizontal="center"/>
    </xf>
    <xf numFmtId="177" fontId="5" fillId="0" borderId="0" xfId="49" applyNumberFormat="1" applyFont="1" applyFill="1" applyBorder="1" applyAlignment="1">
      <alignment horizontal="center"/>
    </xf>
    <xf numFmtId="178" fontId="5" fillId="0" borderId="0" xfId="49" applyNumberFormat="1" applyFont="1" applyFill="1" applyBorder="1" applyAlignment="1">
      <alignment horizontal="center"/>
    </xf>
    <xf numFmtId="4" fontId="5" fillId="0" borderId="0" xfId="49" applyNumberFormat="1" applyFont="1" applyFill="1" applyBorder="1" applyAlignment="1">
      <alignment horizontal="center"/>
    </xf>
    <xf numFmtId="10" fontId="5" fillId="0" borderId="0" xfId="49" applyNumberFormat="1" applyFont="1" applyFill="1" applyBorder="1" applyAlignment="1">
      <alignment horizontal="center"/>
    </xf>
    <xf numFmtId="2" fontId="5" fillId="0" borderId="0" xfId="49" applyNumberFormat="1" applyFont="1" applyFill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179" fontId="1" fillId="0" borderId="0" xfId="49" applyNumberFormat="1" applyFont="1" applyAlignment="1">
      <alignment horizontal="center"/>
    </xf>
    <xf numFmtId="180" fontId="1" fillId="0" borderId="0" xfId="49" applyNumberFormat="1" applyFont="1" applyAlignment="1">
      <alignment horizontal="center"/>
    </xf>
    <xf numFmtId="0" fontId="1" fillId="0" borderId="0" xfId="49" applyNumberFormat="1" applyFont="1" applyAlignment="1">
      <alignment horizontal="center"/>
    </xf>
    <xf numFmtId="0" fontId="7" fillId="0" borderId="0" xfId="49" applyNumberFormat="1" applyFont="1" applyAlignment="1">
      <alignment horizontal="center"/>
    </xf>
    <xf numFmtId="0" fontId="2" fillId="2" borderId="0" xfId="49" applyNumberFormat="1" applyFont="1" applyFill="1" applyBorder="1" applyAlignment="1">
      <alignment horizontal="center"/>
    </xf>
    <xf numFmtId="0" fontId="7" fillId="0" borderId="2" xfId="49" applyNumberFormat="1" applyFont="1" applyFill="1" applyBorder="1" applyAlignment="1">
      <alignment horizontal="center" vertical="top" wrapText="1"/>
    </xf>
    <xf numFmtId="0" fontId="7" fillId="0" borderId="3" xfId="49" applyNumberFormat="1" applyFont="1" applyFill="1" applyBorder="1" applyAlignment="1">
      <alignment horizontal="center" vertical="top" wrapText="1"/>
    </xf>
    <xf numFmtId="0" fontId="7" fillId="0" borderId="4" xfId="49" applyNumberFormat="1" applyFont="1" applyFill="1" applyBorder="1" applyAlignment="1">
      <alignment horizontal="center" vertical="top" wrapText="1"/>
    </xf>
    <xf numFmtId="0" fontId="7" fillId="0" borderId="5" xfId="49" applyNumberFormat="1" applyFont="1" applyFill="1" applyBorder="1" applyAlignment="1">
      <alignment horizontal="center" vertical="top" wrapText="1"/>
    </xf>
    <xf numFmtId="0" fontId="7" fillId="0" borderId="6" xfId="49" applyNumberFormat="1" applyFont="1" applyFill="1" applyBorder="1" applyAlignment="1">
      <alignment horizontal="center" vertical="top" wrapText="1"/>
    </xf>
    <xf numFmtId="0" fontId="7" fillId="0" borderId="7" xfId="49" applyNumberFormat="1" applyFont="1" applyFill="1" applyBorder="1" applyAlignment="1">
      <alignment horizontal="center" vertical="top" wrapText="1"/>
    </xf>
    <xf numFmtId="0" fontId="7" fillId="0" borderId="8" xfId="49" applyNumberFormat="1" applyFont="1" applyFill="1" applyBorder="1" applyAlignment="1">
      <alignment horizontal="center" vertical="top" wrapText="1"/>
    </xf>
    <xf numFmtId="0" fontId="7" fillId="0" borderId="9" xfId="49" applyNumberFormat="1" applyFont="1" applyFill="1" applyBorder="1" applyAlignment="1">
      <alignment horizontal="center" vertical="top" wrapText="1"/>
    </xf>
    <xf numFmtId="0" fontId="7" fillId="0" borderId="10" xfId="49" applyNumberFormat="1" applyFont="1" applyFill="1" applyBorder="1" applyAlignment="1">
      <alignment horizontal="center" vertical="top" wrapText="1"/>
    </xf>
    <xf numFmtId="0" fontId="8" fillId="2" borderId="11" xfId="49" applyNumberFormat="1" applyFont="1" applyFill="1" applyBorder="1" applyAlignment="1">
      <alignment horizontal="left" vertical="center"/>
    </xf>
    <xf numFmtId="0" fontId="8" fillId="2" borderId="12" xfId="49" applyNumberFormat="1" applyFont="1" applyFill="1" applyBorder="1" applyAlignment="1">
      <alignment horizontal="left" vertical="center"/>
    </xf>
    <xf numFmtId="0" fontId="9" fillId="4" borderId="13" xfId="49" applyNumberFormat="1" applyFont="1" applyFill="1" applyBorder="1" applyAlignment="1">
      <alignment horizontal="center"/>
    </xf>
    <xf numFmtId="0" fontId="10" fillId="0" borderId="14" xfId="49" applyNumberFormat="1" applyFont="1" applyFill="1" applyBorder="1" applyAlignment="1">
      <alignment horizontal="left"/>
    </xf>
    <xf numFmtId="0" fontId="10" fillId="0" borderId="15" xfId="49" applyNumberFormat="1" applyFont="1" applyFill="1" applyBorder="1" applyAlignment="1">
      <alignment horizontal="left"/>
    </xf>
    <xf numFmtId="0" fontId="10" fillId="0" borderId="16" xfId="49" applyNumberFormat="1" applyFont="1" applyFill="1" applyBorder="1" applyAlignment="1">
      <alignment horizontal="left"/>
    </xf>
    <xf numFmtId="0" fontId="9" fillId="4" borderId="11" xfId="49" applyNumberFormat="1" applyFont="1" applyFill="1" applyBorder="1" applyAlignment="1">
      <alignment horizontal="center"/>
    </xf>
    <xf numFmtId="0" fontId="11" fillId="0" borderId="0" xfId="49" applyNumberFormat="1" applyFont="1" applyFill="1" applyBorder="1"/>
    <xf numFmtId="0" fontId="12" fillId="5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52"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right style="thin">
          <color indexed="0"/>
        </right>
      </border>
    </dxf>
    <dxf>
      <border>
        <left/>
      </border>
    </dxf>
    <dxf/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numFmt numFmtId="177" formatCode="#,##0_ "/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numFmt numFmtId="177" formatCode="#,##0_ "/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alignment horizontal="center"/>
    </dxf>
    <dxf>
      <font>
        <name val="微软雅黑"/>
        <scheme val="none"/>
      </font>
      <numFmt numFmtId="0" formatCode="General"/>
      <alignment horizontal="center"/>
    </dxf>
    <dxf>
      <font>
        <name val="微软雅黑"/>
        <scheme val="none"/>
      </font>
      <numFmt numFmtId="179" formatCode="0.0000_ "/>
      <alignment horizontal="center"/>
    </dxf>
    <dxf>
      <font>
        <name val="微软雅黑"/>
        <scheme val="none"/>
      </font>
      <numFmt numFmtId="180" formatCode="0.000_);[Red]\(0.000\)"/>
      <alignment horizontal="center"/>
    </dxf>
    <dxf>
      <font>
        <name val="微软雅黑"/>
        <scheme val="none"/>
      </font>
      <numFmt numFmtId="180" formatCode="0.000_);[Red]\(0.000\)"/>
      <alignment horizontal="center"/>
    </dxf>
    <dxf>
      <font>
        <name val="微软雅黑"/>
        <scheme val="none"/>
      </font>
      <numFmt numFmtId="0" formatCode="General"/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  <tableStyleElement type="firstColumnStripe" dxfId="35"/>
    </tableStyle>
    <tableStyle name="PivotStylePreset2_Accent1" table="0" count="10" xr9:uid="{267968C8-6FFD-4C36-ACC1-9EA1FD1885CA}">
      <tableStyleElement type="headerRow" dxfId="51"/>
      <tableStyleElement type="totalRow" dxfId="50"/>
      <tableStyleElement type="firstRowStripe" dxfId="49"/>
      <tableStyleElement type="firstColumnStripe" dxfId="48"/>
      <tableStyleElement type="firstSubtotalRow" dxfId="47"/>
      <tableStyleElement type="secondSubtotalRow" dxfId="46"/>
      <tableStyleElement type="firstRowSubheading" dxfId="45"/>
      <tableStyleElement type="secondRowSubheading" dxfId="44"/>
      <tableStyleElement type="pageFieldLabels" dxfId="43"/>
      <tableStyleElement type="pageFieldValues" dxfId="4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2.5779050926" refreshedBy="Administrator" recordCount="551">
  <cacheSource type="worksheet">
    <worksheetSource name="源数据"/>
  </cacheSource>
  <cacheFields count="22">
    <cacheField name="日期" numFmtId="176">
      <sharedItems containsSemiMixedTypes="0" containsString="0" containsNonDate="0" containsDate="1" minDate="2026-07-01T00:00:00" maxDate="2026-07-01T00:00:00" count="1">
        <d v="2026-07-01T00:00:00"/>
      </sharedItems>
    </cacheField>
    <cacheField name="账号id" numFmtId="49">
      <sharedItems count="551">
        <s v="MJ-0482"/>
        <s v="MJ-0250"/>
        <s v="MJ-0128"/>
        <s v="MJ-0310"/>
        <s v="MJ-0113"/>
        <s v="MJ-0321"/>
        <s v="MJ-0204"/>
        <s v="MJ-0304"/>
        <s v="MJ-0114"/>
        <s v="MJ-0521"/>
        <s v="MJ-0059"/>
        <s v="MJ-0115"/>
        <s v="MJ-0456"/>
        <s v="MJ-0479"/>
        <s v="MJ-0102"/>
        <s v="MJ-0465"/>
        <s v="MJ-0501"/>
        <s v="MJ-0101"/>
        <s v="MJ-0111"/>
        <s v="MJ-0472"/>
        <s v="MJ-0099"/>
        <s v="MJ-0119"/>
        <s v="MJ-0061"/>
        <s v="MJ-0460"/>
        <s v="MJ-0484"/>
        <s v="MJ-0107"/>
        <s v="MJ-0370"/>
        <s v="MJ-0510"/>
        <s v="MJ-0036"/>
        <s v="MJ-0454"/>
        <s v="MJ-0360"/>
        <s v="MJ-0134"/>
        <s v="MJ-0292"/>
        <s v="MJ-0120"/>
        <s v="MJ-0457"/>
        <s v="MJ-0474"/>
        <s v="MJ-0109"/>
        <s v="MJ-0467"/>
        <s v="MJ-0362"/>
        <s v="MJ-0503"/>
        <s v="MJ-0154"/>
        <s v="MJ-0242"/>
        <s v="MJ-0210"/>
        <s v="MJ-0194"/>
        <s v="MJ-0124"/>
        <s v="MJ-0507"/>
        <s v="MJ-0025"/>
        <s v="MJ-0466"/>
        <s v="MJ-0355"/>
        <s v="MJ-0135"/>
        <s v="MJ-0504"/>
        <s v="MJ-0060"/>
        <s v="MJ-0131"/>
        <s v="MJ-0118"/>
        <s v="MJ-0105"/>
        <s v="MJ-0531"/>
        <s v="MJ-0348"/>
        <s v="MJ-0001"/>
        <s v="MJ-0006"/>
        <s v="MJ-0486"/>
        <s v="MJ-0148"/>
        <s v="MJ-0518"/>
        <s v="MJ-0039"/>
        <s v="MJ-0492"/>
        <s v="MJ-0373"/>
        <s v="MJ-0281"/>
        <s v="MJ-0459"/>
        <s v="MJ-0239"/>
        <s v="MJ-0449"/>
        <s v="MJ-0112"/>
        <s v="MJ-0495"/>
        <s v="MJ-0480"/>
        <s v="MJ-0288"/>
        <s v="MJ-0090"/>
        <s v="MJ-0106"/>
        <s v="MJ-0170"/>
        <s v="MJ-0028"/>
        <s v="MJ-0077"/>
        <s v="MJ-0123"/>
        <s v="MJ-0157"/>
        <s v="MJ-0544"/>
        <s v="MJ-0550"/>
        <s v="MJ-0104"/>
        <s v="MJ-0073"/>
        <s v="MJ-0078"/>
        <s v="MJ-0376"/>
        <s v="MJ-0543"/>
        <s v="MJ-0524"/>
        <s v="MJ-0471"/>
        <s v="MJ-0044"/>
        <s v="MJ-0158"/>
        <s v="MJ-0005"/>
        <s v="MJ-0526"/>
        <s v="MJ-0137"/>
        <s v="MJ-0215"/>
        <s v="MJ-0470"/>
        <s v="MJ-0138"/>
        <s v="MJ-0156"/>
        <s v="MJ-0317"/>
        <s v="MJ-0009"/>
        <s v="MJ-0070"/>
        <s v="MJ-0122"/>
        <s v="MJ-0048"/>
        <s v="MJ-0018"/>
        <s v="MJ-0140"/>
        <s v="MJ-0349"/>
        <s v="MJ-0063"/>
        <s v="MJ-0374"/>
        <s v="MJ-0171"/>
        <s v="MJ-0136"/>
        <s v="MJ-0084"/>
        <s v="MJ-0511"/>
        <s v="MJ-0020"/>
        <s v="MJ-0437"/>
        <s v="MJ-0357"/>
        <s v="MJ-0169"/>
        <s v="MJ-0168"/>
        <s v="MJ-0354"/>
        <s v="MJ-0143"/>
        <s v="MJ-0021"/>
        <s v="MJ-0538"/>
        <s v="MJ-0307"/>
        <s v="MJ-0300"/>
        <s v="MJ-0378"/>
        <s v="MJ-0453"/>
        <s v="MJ-0035"/>
        <s v="MJ-0092"/>
        <s v="MJ-0347"/>
        <s v="MJ-0103"/>
        <s v="MJ-0201"/>
        <s v="MJ-0517"/>
        <s v="MJ-0166"/>
        <s v="MJ-0485"/>
        <s v="MJ-0233"/>
        <s v="MJ-0372"/>
        <s v="MJ-0197"/>
        <s v="MJ-0057"/>
        <s v="MJ-0159"/>
        <s v="MJ-0065"/>
        <s v="MJ-0325"/>
        <s v="MJ-0440"/>
        <s v="MJ-0130"/>
        <s v="MJ-0493"/>
        <s v="MJ-0095"/>
        <s v="MJ-0216"/>
        <s v="MJ-0313"/>
        <s v="MJ-0285"/>
        <s v="MJ-0116"/>
        <s v="MJ-0284"/>
        <s v="MJ-0293"/>
        <s v="MJ-0301"/>
        <s v="MJ-0110"/>
        <s v="MJ-0431"/>
        <s v="MJ-0069"/>
        <s v="MJ-0327"/>
        <s v="MJ-0217"/>
        <s v="MJ-0176"/>
        <s v="MJ-0160"/>
        <s v="MJ-0139"/>
        <s v="MJ-0199"/>
        <s v="MJ-0277"/>
        <s v="MJ-0071"/>
        <s v="MJ-0238"/>
        <s v="MJ-0430"/>
        <s v="MJ-0520"/>
        <s v="MJ-0298"/>
        <s v="MJ-0280"/>
        <s v="MJ-0481"/>
        <s v="MJ-0534"/>
        <s v="MJ-0540"/>
        <s v="MJ-0367"/>
        <s v="MJ-0093"/>
        <s v="MJ-0076"/>
        <s v="MJ-0086"/>
        <s v="MJ-0121"/>
        <s v="MJ-0220"/>
        <s v="MJ-0211"/>
        <s v="MJ-0196"/>
        <s v="MJ-0542"/>
        <s v="MJ-0212"/>
        <s v="MJ-0427"/>
        <s v="MJ-0223"/>
        <s v="MJ-0206"/>
        <s v="MJ-0004"/>
        <s v="MJ-0230"/>
        <s v="MJ-0530"/>
        <s v="MJ-0153"/>
        <s v="MJ-0145"/>
        <s v="MJ-0351"/>
        <s v="MJ-0192"/>
        <s v="MJ-0224"/>
        <s v="MJ-0490"/>
        <s v="MJ-0442"/>
        <s v="MJ-0353"/>
        <s v="MJ-0066"/>
        <s v="MJ-0165"/>
        <s v="MJ-0003"/>
        <s v="MJ-0126"/>
        <s v="MJ-0547"/>
        <s v="MJ-0172"/>
        <s v="MJ-0350"/>
        <s v="MJ-0229"/>
        <s v="MJ-0094"/>
        <s v="MJ-0150"/>
        <s v="MJ-0487"/>
        <s v="MJ-0125"/>
        <s v="MJ-0377"/>
        <s v="MJ-0296"/>
        <s v="MJ-0207"/>
        <s v="MJ-0072"/>
        <s v="MJ-0469"/>
        <s v="MJ-0146"/>
        <s v="MJ-0358"/>
        <s v="MJ-0271"/>
        <s v="MJ-0286"/>
        <s v="MJ-0319"/>
        <s v="MJ-0276"/>
        <s v="MJ-0203"/>
        <s v="MJ-0097"/>
        <s v="MJ-0058"/>
        <s v="MJ-0075"/>
        <s v="MJ-0083"/>
        <s v="MJ-0329"/>
        <s v="MJ-0434"/>
        <s v="MJ-0429"/>
        <s v="MJ-0451"/>
        <s v="MJ-0088"/>
        <s v="MJ-0081"/>
        <s v="MJ-0129"/>
        <s v="MJ-0149"/>
        <s v="MJ-0191"/>
        <s v="MJ-0315"/>
        <s v="MJ-0509"/>
        <s v="MJ-0275"/>
        <s v="MJ-0067"/>
        <s v="MJ-0155"/>
        <s v="MJ-0234"/>
        <s v="MJ-0283"/>
        <s v="MJ-0195"/>
        <s v="MJ-0082"/>
        <s v="MJ-0267"/>
        <s v="MJ-0132"/>
        <s v="MJ-0282"/>
        <s v="MJ-0162"/>
        <s v="MJ-0161"/>
        <s v="MJ-0532"/>
        <s v="MJ-0274"/>
        <s v="MJ-0187"/>
        <s v="MJ-0098"/>
        <s v="MJ-0127"/>
        <s v="MJ-0062"/>
        <s v="MJ-0068"/>
        <s v="MJ-0152"/>
        <s v="MJ-0489"/>
        <s v="MJ-0079"/>
        <s v="MJ-0225"/>
        <s v="MJ-0488"/>
        <s v="MJ-0302"/>
        <s v="MJ-0323"/>
        <s v="MJ-0089"/>
        <s v="MJ-0359"/>
        <s v="MJ-0133"/>
        <s v="MJ-0297"/>
        <s v="MJ-0375"/>
        <s v="MJ-0226"/>
        <s v="MJ-0108"/>
        <s v="MJ-0100"/>
        <s v="MJ-0322"/>
        <s v="MJ-0208"/>
        <s v="MJ-0533"/>
        <s v="MJ-0278"/>
        <s v="MJ-0514"/>
        <s v="MJ-0508"/>
        <s v="MJ-0096"/>
        <s v="MJ-0228"/>
        <s v="MJ-0473"/>
        <s v="MJ-0546"/>
        <s v="MJ-0496"/>
        <s v="MJ-0311"/>
        <s v="MJ-0142"/>
        <s v="MJ-0498"/>
        <s v="MJ-0290"/>
        <s v="MJ-0505"/>
        <s v="MJ-0545"/>
        <s v="MJ-0458"/>
        <s v="MJ-0074"/>
        <s v="MJ-0326"/>
        <s v="MJ-0270"/>
        <s v="MJ-0356"/>
        <s v="MJ-0425"/>
        <s v="MJ-0257"/>
        <s v="MJ-0167"/>
        <s v="MJ-0340"/>
        <s v="MJ-0537"/>
        <s v="MJ-0455"/>
        <s v="MJ-0055"/>
        <s v="MJ-0042"/>
        <s v="MJ-0273"/>
        <s v="MJ-0190"/>
        <s v="MJ-0087"/>
        <s v="MJ-0464"/>
        <s v="MJ-0525"/>
        <s v="MJ-0529"/>
        <s v="MJ-0476"/>
        <s v="MJ-0303"/>
        <s v="MJ-0536"/>
        <s v="MJ-0010"/>
        <s v="MJ-0345"/>
        <s v="MJ-0549"/>
        <s v="MJ-0147"/>
        <s v="MJ-0477"/>
        <s v="MJ-0144"/>
        <s v="MJ-0551"/>
        <s v="MJ-0232"/>
        <s v="MJ-0346"/>
        <s v="MJ-0008"/>
        <s v="MJ-0053"/>
        <s v="MJ-0287"/>
        <s v="MJ-0512"/>
        <s v="MJ-0502"/>
        <s v="MJ-0080"/>
        <s v="MJ-0528"/>
        <s v="MJ-0141"/>
        <s v="MJ-0483"/>
        <s v="MJ-0163"/>
        <s v="MJ-0523"/>
        <s v="MJ-0052"/>
        <s v="MJ-0294"/>
        <s v="MJ-0331"/>
        <s v="MJ-0499"/>
        <s v="MJ-0333"/>
        <s v="MJ-0339"/>
        <s v="MJ-0341"/>
        <s v="MJ-0539"/>
        <s v="MJ-0085"/>
        <s v="MJ-0344"/>
        <s v="MJ-0051"/>
        <s v="MJ-0151"/>
        <s v="MJ-0338"/>
        <s v="MJ-0247"/>
        <s v="MJ-0272"/>
        <s v="MJ-0040"/>
        <s v="MJ-0252"/>
        <s v="MJ-0334"/>
        <s v="MJ-0253"/>
        <s v="MJ-0249"/>
        <s v="MJ-0527"/>
        <s v="MJ-0336"/>
        <s v="MJ-0389"/>
        <s v="MJ-0299"/>
        <s v="MJ-0255"/>
        <s v="MJ-0448"/>
        <s v="MJ-0258"/>
        <s v="MJ-0033"/>
        <s v="MJ-0386"/>
        <s v="MJ-0240"/>
        <s v="MJ-0332"/>
        <s v="MJ-0245"/>
        <s v="MJ-0522"/>
        <s v="MJ-0446"/>
        <s v="MJ-0383"/>
        <s v="MJ-0002"/>
        <s v="MJ-0452"/>
        <s v="MJ-0214"/>
        <s v="MJ-0268"/>
        <s v="MJ-0407"/>
        <s v="MJ-0260"/>
        <s v="MJ-0450"/>
        <s v="MJ-0330"/>
        <s v="MJ-0289"/>
        <s v="MJ-0335"/>
        <s v="MJ-0515"/>
        <s v="MJ-0032"/>
        <s v="MJ-0516"/>
        <s v="MJ-0264"/>
        <s v="MJ-0445"/>
        <s v="MJ-0337"/>
        <s v="MJ-0295"/>
        <s v="MJ-0392"/>
        <s v="MJ-0262"/>
        <s v="MJ-0343"/>
        <s v="MJ-0178"/>
        <s v="MJ-0246"/>
        <s v="MJ-0265"/>
        <s v="MJ-0342"/>
        <s v="MJ-0243"/>
        <s v="MJ-0266"/>
        <s v="MJ-0047"/>
        <s v="MJ-0401"/>
        <s v="MJ-0221"/>
        <s v="MJ-0388"/>
        <s v="MJ-0175"/>
        <s v="MJ-0031"/>
        <s v="MJ-0184"/>
        <s v="MJ-0391"/>
        <s v="MJ-0007"/>
        <s v="MJ-0254"/>
        <s v="MJ-0024"/>
        <s v="MJ-0034"/>
        <s v="MJ-0291"/>
        <s v="MJ-0478"/>
        <s v="MJ-0443"/>
        <s v="MJ-0416"/>
        <s v="MJ-0438"/>
        <s v="MJ-0420"/>
        <s v="MJ-0256"/>
        <s v="MJ-0380"/>
        <s v="MJ-0016"/>
        <s v="MJ-0261"/>
        <s v="MJ-0402"/>
        <s v="MJ-0027"/>
        <s v="MJ-0382"/>
        <s v="MJ-0259"/>
        <s v="MJ-0050"/>
        <s v="MJ-0056"/>
        <s v="MJ-0185"/>
        <s v="MJ-0026"/>
        <s v="MJ-0406"/>
        <s v="MJ-0447"/>
        <s v="MJ-0417"/>
        <s v="MJ-0174"/>
        <s v="MJ-0173"/>
        <s v="MJ-0409"/>
        <s v="MJ-0023"/>
        <s v="MJ-0390"/>
        <s v="MJ-0463"/>
        <s v="MJ-0418"/>
        <s v="MJ-0213"/>
        <s v="MJ-0218"/>
        <s v="MJ-0037"/>
        <s v="MJ-0038"/>
        <s v="MJ-0412"/>
        <s v="MJ-0251"/>
        <s v="MJ-0519"/>
        <s v="MJ-0014"/>
        <s v="MJ-0030"/>
        <s v="MJ-0381"/>
        <s v="MJ-0019"/>
        <s v="MJ-0400"/>
        <s v="MJ-0428"/>
        <s v="MJ-0043"/>
        <s v="MJ-0181"/>
        <s v="MJ-0022"/>
        <s v="MJ-0180"/>
        <s v="MJ-0041"/>
        <s v="MJ-0403"/>
        <s v="MJ-0054"/>
        <s v="MJ-0237"/>
        <s v="MJ-0188"/>
        <s v="MJ-0231"/>
        <s v="MJ-0426"/>
        <s v="MJ-0029"/>
        <s v="MJ-0432"/>
        <s v="MJ-0415"/>
        <s v="MJ-0200"/>
        <s v="MJ-0394"/>
        <s v="MJ-0183"/>
        <s v="MJ-0397"/>
        <s v="MJ-0385"/>
        <s v="MJ-0384"/>
        <s v="MJ-0046"/>
        <s v="MJ-0209"/>
        <s v="MJ-0248"/>
        <s v="MJ-0164"/>
        <s v="MJ-0177"/>
        <s v="MJ-0045"/>
        <s v="MJ-0506"/>
        <s v="MJ-0235"/>
        <s v="MJ-0269"/>
        <s v="MJ-0424"/>
        <s v="MJ-0205"/>
        <s v="MJ-0444"/>
        <s v="MJ-0244"/>
        <s v="MJ-0395"/>
        <s v="MJ-0422"/>
        <s v="MJ-0435"/>
        <s v="MJ-0318"/>
        <s v="MJ-0369"/>
        <s v="MJ-0404"/>
        <s v="MJ-0049"/>
        <s v="MJ-0411"/>
        <s v="MJ-0365"/>
        <s v="MJ-0012"/>
        <s v="MJ-0491"/>
        <s v="MJ-0117"/>
        <s v="MJ-0352"/>
        <s v="MJ-0366"/>
        <s v="MJ-0219"/>
        <s v="MJ-0324"/>
        <s v="MJ-0328"/>
        <s v="MJ-0202"/>
        <s v="MJ-0371"/>
        <s v="MJ-0439"/>
        <s v="MJ-0309"/>
        <s v="MJ-0198"/>
        <s v="MJ-0364"/>
        <s v="MJ-0222"/>
        <s v="MJ-0408"/>
        <s v="MJ-0494"/>
        <s v="MJ-0410"/>
        <s v="MJ-0497"/>
        <s v="MJ-0316"/>
        <s v="MJ-0236"/>
        <s v="MJ-0500"/>
        <s v="MJ-0015"/>
        <s v="MJ-0441"/>
        <s v="MJ-0017"/>
        <s v="MJ-0393"/>
        <s v="MJ-0361"/>
        <s v="MJ-0396"/>
        <s v="MJ-0399"/>
        <s v="MJ-0186"/>
        <s v="MJ-0387"/>
        <s v="MJ-0398"/>
        <s v="MJ-0363"/>
        <s v="MJ-0312"/>
        <s v="MJ-0241"/>
        <s v="MJ-0320"/>
        <s v="MJ-0227"/>
        <s v="MJ-0193"/>
        <s v="MJ-0413"/>
        <s v="MJ-0368"/>
        <s v="MJ-0405"/>
        <s v="MJ-0423"/>
        <s v="MJ-0436"/>
        <s v="MJ-0179"/>
        <s v="MJ-0433"/>
        <s v="MJ-0421"/>
        <s v="MJ-0314"/>
        <s v="MJ-0182"/>
        <s v="MJ-0414"/>
        <s v="MJ-0189"/>
        <s v="MJ-0419"/>
        <s v="MJ-0308"/>
        <s v="MJ-0475"/>
        <s v="MJ-0091"/>
        <s v="MJ-0011"/>
        <s v="MJ-0379"/>
        <s v="MJ-0263"/>
        <s v="MJ-0013"/>
        <s v="MJ-0468"/>
        <s v="MJ-0064"/>
        <s v="MJ-0306"/>
        <s v="MJ-0535"/>
        <s v="MJ-0461"/>
        <s v="MJ-0548"/>
        <s v="MJ-0541"/>
        <s v="MJ-0279"/>
        <s v="MJ-0513"/>
        <s v="MJ-0305"/>
        <s v="MJ-0462"/>
      </sharedItems>
    </cacheField>
    <cacheField name="账号名称" numFmtId="49">
      <sharedItems count="551">
        <s v="漫剧品牌G-账号-0482"/>
        <s v="漫剧品牌C-账号-0250"/>
        <s v="漫剧品牌C-账号-0128"/>
        <s v="漫剧品牌F-账号-0310"/>
        <s v="漫剧品牌C-账号-0113"/>
        <s v="漫剧品牌F-账号-0321"/>
        <s v="漫剧品牌C-账号-0204"/>
        <s v="漫剧品牌B-账号-0304"/>
        <s v="漫剧品牌C-账号-0114"/>
        <s v="漫剧品牌D-账号-0521"/>
        <s v="漫剧品牌D-账号-0059"/>
        <s v="漫剧品牌C-账号-0115"/>
        <s v="漫剧品牌G-账号-0456"/>
        <s v="漫剧品牌C-账号-0479"/>
        <s v="漫剧品牌C-账号-0102"/>
        <s v="漫剧品牌G-账号-0465"/>
        <s v="漫剧品牌G-账号-0501"/>
        <s v="漫剧品牌C-账号-0101"/>
        <s v="漫剧品牌C-账号-0111"/>
        <s v="漫剧品牌C-账号-0472"/>
        <s v="漫剧品牌C-账号-0099"/>
        <s v="漫剧品牌C-账号-0119"/>
        <s v="漫剧品牌D-账号-0061"/>
        <s v="漫剧品牌C-账号-0460"/>
        <s v="漫剧品牌C-账号-0484"/>
        <s v="漫剧品牌C-账号-0107"/>
        <s v="漫剧品牌C-账号-0370"/>
        <s v="漫剧品牌E-账号-0510"/>
        <s v="漫剧品牌C-账号-0036"/>
        <s v="漫剧品牌C-账号-0454"/>
        <s v="漫剧品牌C-账号-0360"/>
        <s v="漫剧品牌D-账号-0134"/>
        <s v="漫剧品牌C-账号-0292"/>
        <s v="漫剧品牌C-账号-0120"/>
        <s v="漫剧品牌C-账号-0457"/>
        <s v="漫剧品牌G-账号-0474"/>
        <s v="漫剧品牌C-账号-0109"/>
        <s v="漫剧品牌C-账号-0467"/>
        <s v="漫剧品牌C-账号-0362"/>
        <s v="漫剧品牌C-账号-0503"/>
        <s v="漫剧品牌D-账号-0154"/>
        <s v="漫剧品牌C-账号-0242"/>
        <s v="漫剧品牌B-账号-0210"/>
        <s v="漫剧品牌G-账号-0194"/>
        <s v="漫剧品牌C-账号-0124"/>
        <s v="漫剧品牌D-账号-0507"/>
        <s v="漫剧品牌C-账号-0025"/>
        <s v="漫剧品牌C-账号-0466"/>
        <s v="漫剧品牌C-账号-0355"/>
        <s v="漫剧品牌C-账号-0135"/>
        <s v="漫剧品牌G-账号-0504"/>
        <s v="漫剧品牌D-账号-0060"/>
        <s v="漫剧品牌C-账号-0131"/>
        <s v="漫剧品牌C-账号-0118"/>
        <s v="漫剧品牌C-账号-0105"/>
        <s v="漫剧品牌D-账号-0531"/>
        <s v="漫剧品牌D-账号-0348"/>
        <s v="漫剧品牌H-账号-0001"/>
        <s v="漫剧品牌H-账号-0006"/>
        <s v="漫剧品牌G-账号-0486"/>
        <s v="漫剧品牌D-账号-0148"/>
        <s v="漫剧品牌H-账号-0518"/>
        <s v="漫剧品牌C-账号-0039"/>
        <s v="漫剧品牌G-账号-0492"/>
        <s v="漫剧品牌C-账号-0373"/>
        <s v="漫剧品牌C-账号-0281"/>
        <s v="漫剧品牌G-账号-0459"/>
        <s v="漫剧品牌B-账号-0239"/>
        <s v="漫剧品牌G-账号-0449"/>
        <s v="漫剧品牌C-账号-0112"/>
        <s v="漫剧品牌G-账号-0495"/>
        <s v="漫剧品牌C-账号-0480"/>
        <s v="漫剧品牌F-账号-0288"/>
        <s v="漫剧品牌D-账号-0090"/>
        <s v="漫剧品牌C-账号-0106"/>
        <s v="漫剧品牌D-账号-0170"/>
        <s v="漫剧品牌C-账号-0028"/>
        <s v="漫剧品牌D-账号-0077"/>
        <s v="漫剧品牌C-账号-0123"/>
        <s v="漫剧品牌D-账号-0157"/>
        <s v="漫剧品牌D-账号-0544"/>
        <s v="漫剧品牌D-账号-0550"/>
        <s v="漫剧品牌C-账号-0104"/>
        <s v="漫剧品牌D-账号-0073"/>
        <s v="漫剧品牌D-账号-0078"/>
        <s v="漫剧品牌C-账号-0376"/>
        <s v="漫剧品牌H-账号-0543"/>
        <s v="漫剧品牌D-账号-0524"/>
        <s v="漫剧品牌G-账号-0471"/>
        <s v="漫剧品牌C-账号-0044"/>
        <s v="漫剧品牌D-账号-0158"/>
        <s v="漫剧品牌C-账号-0005"/>
        <s v="漫剧品牌D-账号-0526"/>
        <s v="漫剧品牌C-账号-0137"/>
        <s v="漫剧品牌G-账号-0215"/>
        <s v="漫剧品牌G-账号-0470"/>
        <s v="漫剧品牌D-账号-0138"/>
        <s v="漫剧品牌D-账号-0156"/>
        <s v="漫剧品牌E-账号-0317"/>
        <s v="漫剧品牌C-账号-0009"/>
        <s v="漫剧品牌D-账号-0070"/>
        <s v="漫剧品牌C-账号-0122"/>
        <s v="漫剧品牌C-账号-0048"/>
        <s v="漫剧品牌B-账号-0018"/>
        <s v="漫剧品牌D-账号-0140"/>
        <s v="漫剧品牌D-账号-0349"/>
        <s v="漫剧品牌D-账号-0063"/>
        <s v="漫剧品牌C-账号-0374"/>
        <s v="漫剧品牌G-账号-0171"/>
        <s v="漫剧品牌D-账号-0136"/>
        <s v="漫剧品牌D-账号-0084"/>
        <s v="漫剧品牌D-账号-0511"/>
        <s v="漫剧品牌C-账号-0020"/>
        <s v="漫剧品牌G-账号-0437"/>
        <s v="漫剧品牌C-账号-0357"/>
        <s v="漫剧品牌G-账号-0169"/>
        <s v="漫剧品牌D-账号-0168"/>
        <s v="漫剧品牌C-账号-0354"/>
        <s v="漫剧品牌D-账号-0143"/>
        <s v="漫剧品牌B-账号-0021"/>
        <s v="漫剧品牌D-账号-0538"/>
        <s v="漫剧品牌F-账号-0307"/>
        <s v="漫剧品牌G-账号-0300"/>
        <s v="漫剧品牌C-账号-0378"/>
        <s v="漫剧品牌G-账号-0453"/>
        <s v="漫剧品牌C-账号-0035"/>
        <s v="漫剧品牌D-账号-0092"/>
        <s v="漫剧品牌D-账号-0347"/>
        <s v="漫剧品牌C-账号-0103"/>
        <s v="漫剧品牌G-账号-0201"/>
        <s v="漫剧品牌F-账号-0517"/>
        <s v="漫剧品牌D-账号-0166"/>
        <s v="漫剧品牌H-账号-0485"/>
        <s v="漫剧品牌G-账号-0233"/>
        <s v="漫剧品牌C-账号-0372"/>
        <s v="漫剧品牌G-账号-0197"/>
        <s v="漫剧品牌D-账号-0057"/>
        <s v="漫剧品牌D-账号-0159"/>
        <s v="漫剧品牌D-账号-0065"/>
        <s v="漫剧品牌E-账号-0325"/>
        <s v="漫剧品牌G-账号-0440"/>
        <s v="漫剧品牌C-账号-0130"/>
        <s v="漫剧品牌D-账号-0493"/>
        <s v="漫剧品牌D-账号-0095"/>
        <s v="漫剧品牌G-账号-0216"/>
        <s v="漫剧品牌E-账号-0313"/>
        <s v="漫剧品牌C-账号-0285"/>
        <s v="漫剧品牌C-账号-0116"/>
        <s v="漫剧品牌F-账号-0284"/>
        <s v="漫剧品牌G-账号-0293"/>
        <s v="漫剧品牌F-账号-0301"/>
        <s v="漫剧品牌C-账号-0110"/>
        <s v="漫剧品牌G-账号-0431"/>
        <s v="漫剧品牌D-账号-0069"/>
        <s v="漫剧品牌E-账号-0327"/>
        <s v="漫剧品牌G-账号-0217"/>
        <s v="漫剧品牌G-账号-0176"/>
        <s v="漫剧品牌D-账号-0160"/>
        <s v="漫剧品牌D-账号-0139"/>
        <s v="漫剧品牌G-账号-0199"/>
        <s v="漫剧品牌D-账号-0277"/>
        <s v="漫剧品牌D-账号-0071"/>
        <s v="漫剧品牌G-账号-0238"/>
        <s v="漫剧品牌D-账号-0430"/>
        <s v="漫剧品牌G-账号-0520"/>
        <s v="漫剧品牌F-账号-0298"/>
        <s v="漫剧品牌F-账号-0280"/>
        <s v="漫剧品牌H-账号-0481"/>
        <s v="漫剧品牌F-账号-0534"/>
        <s v="漫剧品牌F-账号-0540"/>
        <s v="漫剧品牌C-账号-0367"/>
        <s v="漫剧品牌D-账号-0093"/>
        <s v="漫剧品牌D-账号-0076"/>
        <s v="漫剧品牌D-账号-0086"/>
        <s v="漫剧品牌C-账号-0121"/>
        <s v="漫剧品牌G-账号-0220"/>
        <s v="漫剧品牌G-账号-0211"/>
        <s v="漫剧品牌G-账号-0196"/>
        <s v="漫剧品牌H-账号-0542"/>
        <s v="漫剧品牌G-账号-0212"/>
        <s v="漫剧品牌G-账号-0427"/>
        <s v="漫剧品牌G-账号-0223"/>
        <s v="漫剧品牌G-账号-0206"/>
        <s v="漫剧品牌F-账号-0004"/>
        <s v="漫剧品牌B-账号-0230"/>
        <s v="漫剧品牌H-账号-0530"/>
        <s v="漫剧品牌D-账号-0153"/>
        <s v="漫剧品牌D-账号-0145"/>
        <s v="漫剧品牌C-账号-0351"/>
        <s v="漫剧品牌E-账号-0192"/>
        <s v="漫剧品牌G-账号-0224"/>
        <s v="漫剧品牌D-账号-0490"/>
        <s v="漫剧品牌G-账号-0442"/>
        <s v="漫剧品牌C-账号-0353"/>
        <s v="漫剧品牌D-账号-0066"/>
        <s v="漫剧品牌D-账号-0165"/>
        <s v="漫剧品牌D-账号-0003"/>
        <s v="漫剧品牌C-账号-0126"/>
        <s v="漫剧品牌F-账号-0547"/>
        <s v="漫剧品牌D-账号-0172"/>
        <s v="漫剧品牌D-账号-0350"/>
        <s v="漫剧品牌G-账号-0229"/>
        <s v="漫剧品牌D-账号-0094"/>
        <s v="漫剧品牌D-账号-0150"/>
        <s v="漫剧品牌G-账号-0487"/>
        <s v="漫剧品牌C-账号-0125"/>
        <s v="漫剧品牌C-账号-0377"/>
        <s v="漫剧品牌C-账号-0296"/>
        <s v="漫剧品牌G-账号-0207"/>
        <s v="漫剧品牌D-账号-0072"/>
        <s v="漫剧品牌H-账号-0469"/>
        <s v="漫剧品牌D-账号-0146"/>
        <s v="漫剧品牌C-账号-0358"/>
        <s v="漫剧品牌E-账号-0271"/>
        <s v="漫剧品牌D-账号-0286"/>
        <s v="漫剧品牌E-账号-0319"/>
        <s v="漫剧品牌G-账号-0276"/>
        <s v="漫剧品牌G-账号-0203"/>
        <s v="漫剧品牌D-账号-0097"/>
        <s v="漫剧品牌D-账号-0058"/>
        <s v="漫剧品牌D-账号-0075"/>
        <s v="漫剧品牌D-账号-0083"/>
        <s v="漫剧品牌E-账号-0329"/>
        <s v="漫剧品牌G-账号-0434"/>
        <s v="漫剧品牌G-账号-0429"/>
        <s v="漫剧品牌G-账号-0451"/>
        <s v="漫剧品牌D-账号-0088"/>
        <s v="漫剧品牌D-账号-0081"/>
        <s v="漫剧品牌C-账号-0129"/>
        <s v="漫剧品牌D-账号-0149"/>
        <s v="漫剧品牌G-账号-0191"/>
        <s v="漫剧品牌E-账号-0315"/>
        <s v="漫剧品牌F-账号-0509"/>
        <s v="漫剧品牌F-账号-0275"/>
        <s v="漫剧品牌D-账号-0067"/>
        <s v="漫剧品牌D-账号-0155"/>
        <s v="漫剧品牌B-账号-0234"/>
        <s v="漫剧品牌D-账号-0283"/>
        <s v="漫剧品牌G-账号-0195"/>
        <s v="漫剧品牌D-账号-0082"/>
        <s v="漫剧品牌E-账号-0267"/>
        <s v="漫剧品牌C-账号-0132"/>
        <s v="漫剧品牌G-账号-0282"/>
        <s v="漫剧品牌D-账号-0162"/>
        <s v="漫剧品牌D-账号-0161"/>
        <s v="漫剧品牌D-账号-0532"/>
        <s v="漫剧品牌E-账号-0274"/>
        <s v="漫剧品牌G-账号-0187"/>
        <s v="漫剧品牌D-账号-0098"/>
        <s v="漫剧品牌C-账号-0127"/>
        <s v="漫剧品牌D-账号-0062"/>
        <s v="漫剧品牌D-账号-0068"/>
        <s v="漫剧品牌D-账号-0152"/>
        <s v="漫剧品牌G-账号-0489"/>
        <s v="漫剧品牌D-账号-0079"/>
        <s v="漫剧品牌B-账号-0225"/>
        <s v="漫剧品牌F-账号-0488"/>
        <s v="漫剧品牌G-账号-0302"/>
        <s v="漫剧品牌E-账号-0323"/>
        <s v="漫剧品牌D-账号-0089"/>
        <s v="漫剧品牌C-账号-0359"/>
        <s v="漫剧品牌C-账号-0133"/>
        <s v="漫剧品牌G-账号-0297"/>
        <s v="漫剧品牌C-账号-0375"/>
        <s v="漫剧品牌G-账号-0226"/>
        <s v="漫剧品牌C-账号-0108"/>
        <s v="漫剧品牌C-账号-0100"/>
        <s v="漫剧品牌E-账号-0322"/>
        <s v="漫剧品牌C-账号-0208"/>
        <s v="漫剧品牌D-账号-0533"/>
        <s v="漫剧品牌E-账号-0278"/>
        <s v="漫剧品牌F-账号-0514"/>
        <s v="漫剧品牌D-账号-0508"/>
        <s v="漫剧品牌D-账号-0096"/>
        <s v="漫剧品牌B-账号-0228"/>
        <s v="漫剧品牌D-账号-0473"/>
        <s v="漫剧品牌F-账号-0546"/>
        <s v="漫剧品牌F-账号-0496"/>
        <s v="漫剧品牌E-账号-0311"/>
        <s v="漫剧品牌D-账号-0142"/>
        <s v="漫剧品牌F-账号-0498"/>
        <s v="漫剧品牌F-账号-0290"/>
        <s v="漫剧品牌D-账号-0505"/>
        <s v="漫剧品牌D-账号-0545"/>
        <s v="漫剧品牌E-账号-0458"/>
        <s v="漫剧品牌D-账号-0074"/>
        <s v="漫剧品牌E-账号-0326"/>
        <s v="漫剧品牌E-账号-0270"/>
        <s v="漫剧品牌C-账号-0356"/>
        <s v="漫剧品牌G-账号-0425"/>
        <s v="漫剧品牌F-账号-0257"/>
        <s v="漫剧品牌D-账号-0167"/>
        <s v="漫剧品牌C-账号-0340"/>
        <s v="漫剧品牌D-账号-0537"/>
        <s v="漫剧品牌G-账号-0455"/>
        <s v="漫剧品牌C-账号-0055"/>
        <s v="漫剧品牌C-账号-0042"/>
        <s v="漫剧品牌E-账号-0273"/>
        <s v="漫剧品牌G-账号-0190"/>
        <s v="漫剧品牌D-账号-0087"/>
        <s v="漫剧品牌E-账号-0464"/>
        <s v="漫剧品牌G-账号-0525"/>
        <s v="漫剧品牌F-账号-0529"/>
        <s v="漫剧品牌D-账号-0476"/>
        <s v="漫剧品牌B-账号-0303"/>
        <s v="漫剧品牌H-账号-0536"/>
        <s v="漫剧品牌B-账号-0010"/>
        <s v="漫剧品牌C-账号-0345"/>
        <s v="漫剧品牌H-账号-0549"/>
        <s v="漫剧品牌D-账号-0147"/>
        <s v="漫剧品牌G-账号-0477"/>
        <s v="漫剧品牌D-账号-0144"/>
        <s v="漫剧品牌F-账号-0551"/>
        <s v="漫剧品牌B-账号-0232"/>
        <s v="漫剧品牌C-账号-0346"/>
        <s v="漫剧品牌D-账号-0008"/>
        <s v="漫剧品牌C-账号-0053"/>
        <s v="漫剧品牌E-账号-0287"/>
        <s v="漫剧品牌D-账号-0512"/>
        <s v="漫剧品牌E-账号-0502"/>
        <s v="漫剧品牌C-账号-0080"/>
        <s v="漫剧品牌F-账号-0528"/>
        <s v="漫剧品牌D-账号-0141"/>
        <s v="漫剧品牌G-账号-0483"/>
        <s v="漫剧品牌A-账号-0163"/>
        <s v="漫剧品牌F-账号-0523"/>
        <s v="漫剧品牌C-账号-0052"/>
        <s v="漫剧品牌F-账号-0294"/>
        <s v="漫剧品牌C-账号-0331"/>
        <s v="漫剧品牌H-账号-0499"/>
        <s v="漫剧品牌C-账号-0333"/>
        <s v="漫剧品牌C-账号-0339"/>
        <s v="漫剧品牌C-账号-0341"/>
        <s v="漫剧品牌F-账号-0539"/>
        <s v="漫剧品牌C-账号-0085"/>
        <s v="漫剧品牌C-账号-0344"/>
        <s v="漫剧品牌C-账号-0051"/>
        <s v="漫剧品牌D-账号-0151"/>
        <s v="漫剧品牌C-账号-0338"/>
        <s v="漫剧品牌C-账号-0247"/>
        <s v="漫剧品牌C-账号-0272"/>
        <s v="漫剧品牌C-账号-0040"/>
        <s v="漫剧品牌F-账号-0252"/>
        <s v="漫剧品牌C-账号-0334"/>
        <s v="漫剧品牌C-账号-0253"/>
        <s v="漫剧品牌B-账号-0249"/>
        <s v="漫剧品牌D-账号-0527"/>
        <s v="漫剧品牌C-账号-0336"/>
        <s v="漫剧品牌A-账号-0389"/>
        <s v="漫剧品牌C-账号-0299"/>
        <s v="漫剧品牌B-账号-0255"/>
        <s v="漫剧品牌B-账号-0448"/>
        <s v="漫剧品牌B-账号-0258"/>
        <s v="漫剧品牌C-账号-0033"/>
        <s v="漫剧品牌A-账号-0386"/>
        <s v="漫剧品牌B-账号-0240"/>
        <s v="漫剧品牌C-账号-0332"/>
        <s v="漫剧品牌B-账号-0245"/>
        <s v="漫剧品牌D-账号-0522"/>
        <s v="漫剧品牌B-账号-0446"/>
        <s v="漫剧品牌A-账号-0383"/>
        <s v="漫剧品牌B-账号-0002"/>
        <s v="漫剧品牌B-账号-0452"/>
        <s v="漫剧品牌B-账号-0214"/>
        <s v="漫剧品牌C-账号-0268"/>
        <s v="漫剧品牌B-账号-0407"/>
        <s v="漫剧品牌C-账号-0260"/>
        <s v="漫剧品牌B-账号-0450"/>
        <s v="漫剧品牌C-账号-0330"/>
        <s v="漫剧品牌C-账号-0289"/>
        <s v="漫剧品牌C-账号-0335"/>
        <s v="漫剧品牌E-账号-0515"/>
        <s v="漫剧品牌C-账号-0032"/>
        <s v="漫剧品牌D-账号-0516"/>
        <s v="漫剧品牌C-账号-0264"/>
        <s v="漫剧品牌D-账号-0445"/>
        <s v="漫剧品牌C-账号-0337"/>
        <s v="漫剧品牌C-账号-0295"/>
        <s v="漫剧品牌A-账号-0392"/>
        <s v="漫剧品牌B-账号-0262"/>
        <s v="漫剧品牌C-账号-0343"/>
        <s v="漫剧品牌A-账号-0178"/>
        <s v="漫剧品牌B-账号-0246"/>
        <s v="漫剧品牌B-账号-0265"/>
        <s v="漫剧品牌C-账号-0342"/>
        <s v="漫剧品牌B-账号-0243"/>
        <s v="漫剧品牌B-账号-0266"/>
        <s v="漫剧品牌B-账号-0047"/>
        <s v="漫剧品牌B-账号-0401"/>
        <s v="漫剧品牌B-账号-0221"/>
        <s v="漫剧品牌B-账号-0388"/>
        <s v="漫剧品牌A-账号-0175"/>
        <s v="漫剧品牌B-账号-0031"/>
        <s v="漫剧品牌A-账号-0184"/>
        <s v="漫剧品牌B-账号-0391"/>
        <s v="漫剧品牌B-账号-0007"/>
        <s v="漫剧品牌B-账号-0254"/>
        <s v="漫剧品牌B-账号-0024"/>
        <s v="漫剧品牌B-账号-0034"/>
        <s v="漫剧品牌C-账号-0291"/>
        <s v="漫剧品牌G-账号-0478"/>
        <s v="漫剧品牌B-账号-0443"/>
        <s v="漫剧品牌B-账号-0416"/>
        <s v="漫剧品牌B-账号-0438"/>
        <s v="漫剧品牌B-账号-0420"/>
        <s v="漫剧品牌B-账号-0256"/>
        <s v="漫剧品牌A-账号-0380"/>
        <s v="漫剧品牌B-账号-0016"/>
        <s v="漫剧品牌B-账号-0261"/>
        <s v="漫剧品牌B-账号-0402"/>
        <s v="漫剧品牌B-账号-0027"/>
        <s v="漫剧品牌B-账号-0382"/>
        <s v="漫剧品牌B-账号-0259"/>
        <s v="漫剧品牌B-账号-0050"/>
        <s v="漫剧品牌B-账号-0056"/>
        <s v="漫剧品牌A-账号-0185"/>
        <s v="漫剧品牌B-账号-0026"/>
        <s v="漫剧品牌B-账号-0406"/>
        <s v="漫剧品牌B-账号-0447"/>
        <s v="漫剧品牌B-账号-0417"/>
        <s v="漫剧品牌A-账号-0174"/>
        <s v="漫剧品牌A-账号-0173"/>
        <s v="漫剧品牌D-账号-0409"/>
        <s v="漫剧品牌B-账号-0023"/>
        <s v="漫剧品牌B-账号-0390"/>
        <s v="漫剧品牌H-账号-0463"/>
        <s v="漫剧品牌D-账号-0418"/>
        <s v="漫剧品牌B-账号-0213"/>
        <s v="漫剧品牌B-账号-0218"/>
        <s v="漫剧品牌B-账号-0037"/>
        <s v="漫剧品牌B-账号-0038"/>
        <s v="漫剧品牌B-账号-0412"/>
        <s v="漫剧品牌B-账号-0251"/>
        <s v="漫剧品牌D-账号-0519"/>
        <s v="漫剧品牌B-账号-0014"/>
        <s v="漫剧品牌B-账号-0030"/>
        <s v="漫剧品牌A-账号-0381"/>
        <s v="漫剧品牌B-账号-0019"/>
        <s v="漫剧品牌B-账号-0400"/>
        <s v="漫剧品牌B-账号-0428"/>
        <s v="漫剧品牌B-账号-0043"/>
        <s v="漫剧品牌A-账号-0181"/>
        <s v="漫剧品牌B-账号-0022"/>
        <s v="漫剧品牌A-账号-0180"/>
        <s v="漫剧品牌B-账号-0041"/>
        <s v="漫剧品牌D-账号-0403"/>
        <s v="漫剧品牌B-账号-0054"/>
        <s v="漫剧品牌B-账号-0237"/>
        <s v="漫剧品牌A-账号-0188"/>
        <s v="漫剧品牌B-账号-0231"/>
        <s v="漫剧品牌B-账号-0426"/>
        <s v="漫剧品牌C-账号-0029"/>
        <s v="漫剧品牌D-账号-0432"/>
        <s v="漫剧品牌B-账号-0415"/>
        <s v="漫剧品牌B-账号-0200"/>
        <s v="漫剧品牌B-账号-0394"/>
        <s v="漫剧品牌G-账号-0183"/>
        <s v="漫剧品牌B-账号-0397"/>
        <s v="漫剧品牌B-账号-0385"/>
        <s v="漫剧品牌A-账号-0384"/>
        <s v="漫剧品牌B-账号-0046"/>
        <s v="漫剧品牌B-账号-0209"/>
        <s v="漫剧品牌B-账号-0248"/>
        <s v="漫剧品牌A-账号-0164"/>
        <s v="漫剧品牌A-账号-0177"/>
        <s v="漫剧品牌C-账号-0045"/>
        <s v="漫剧品牌E-账号-0506"/>
        <s v="漫剧品牌B-账号-0235"/>
        <s v="漫剧品牌B-账号-0269"/>
        <s v="漫剧品牌A-账号-0424"/>
        <s v="漫剧品牌B-账号-0205"/>
        <s v="漫剧品牌B-账号-0444"/>
        <s v="漫剧品牌B-账号-0244"/>
        <s v="漫剧品牌A-账号-0395"/>
        <s v="漫剧品牌A-账号-0422"/>
        <s v="漫剧品牌B-账号-0435"/>
        <s v="漫剧品牌C-账号-0318"/>
        <s v="漫剧品牌C-账号-0369"/>
        <s v="漫剧品牌A-账号-0404"/>
        <s v="漫剧品牌C-账号-0049"/>
        <s v="漫剧品牌B-账号-0411"/>
        <s v="漫剧品牌C-账号-0365"/>
        <s v="漫剧品牌B-账号-0012"/>
        <s v="漫剧品牌E-账号-0491"/>
        <s v="漫剧品牌C-账号-0117"/>
        <s v="漫剧品牌C-账号-0352"/>
        <s v="漫剧品牌C-账号-0366"/>
        <s v="漫剧品牌G-账号-0219"/>
        <s v="漫剧品牌C-账号-0324"/>
        <s v="漫剧品牌C-账号-0328"/>
        <s v="漫剧品牌G-账号-0202"/>
        <s v="漫剧品牌C-账号-0371"/>
        <s v="漫剧品牌D-账号-0439"/>
        <s v="漫剧品牌C-账号-0309"/>
        <s v="漫剧品牌G-账号-0198"/>
        <s v="漫剧品牌C-账号-0364"/>
        <s v="漫剧品牌G-账号-0222"/>
        <s v="漫剧品牌D-账号-0408"/>
        <s v="漫剧品牌E-账号-0494"/>
        <s v="漫剧品牌A-账号-0410"/>
        <s v="漫剧品牌E-账号-0497"/>
        <s v="漫剧品牌C-账号-0316"/>
        <s v="漫剧品牌G-账号-0236"/>
        <s v="漫剧品牌E-账号-0500"/>
        <s v="漫剧品牌B-账号-0015"/>
        <s v="漫剧品牌D-账号-0441"/>
        <s v="漫剧品牌C-账号-0017"/>
        <s v="漫剧品牌A-账号-0393"/>
        <s v="漫剧品牌C-账号-0361"/>
        <s v="漫剧品牌A-账号-0396"/>
        <s v="漫剧品牌A-账号-0399"/>
        <s v="漫剧品牌A-账号-0186"/>
        <s v="漫剧品牌A-账号-0387"/>
        <s v="漫剧品牌D-账号-0398"/>
        <s v="漫剧品牌C-账号-0363"/>
        <s v="漫剧品牌C-账号-0312"/>
        <s v="漫剧品牌G-账号-0241"/>
        <s v="漫剧品牌C-账号-0320"/>
        <s v="漫剧品牌G-账号-0227"/>
        <s v="漫剧品牌A-账号-0193"/>
        <s v="漫剧品牌D-账号-0413"/>
        <s v="漫剧品牌C-账号-0368"/>
        <s v="漫剧品牌A-账号-0405"/>
        <s v="漫剧品牌A-账号-0423"/>
        <s v="漫剧品牌D-账号-0436"/>
        <s v="漫剧品牌G-账号-0179"/>
        <s v="漫剧品牌A-账号-0433"/>
        <s v="漫剧品牌D-账号-0421"/>
        <s v="漫剧品牌C-账号-0314"/>
        <s v="漫剧品牌A-账号-0182"/>
        <s v="漫剧品牌A-账号-0414"/>
        <s v="漫剧品牌A-账号-0189"/>
        <s v="漫剧品牌A-账号-0419"/>
        <s v="漫剧品牌C-账号-0308"/>
        <s v="漫剧品牌F-账号-0475"/>
        <s v="漫剧品牌C-账号-0091"/>
        <s v="漫剧品牌F-账号-0011"/>
        <s v="漫剧品牌D-账号-0379"/>
        <s v="漫剧品牌C-账号-0263"/>
        <s v="漫剧品牌F-账号-0013"/>
        <s v="漫剧品牌F-账号-0468"/>
        <s v="漫剧品牌C-账号-0064"/>
        <s v="漫剧品牌C-账号-0306"/>
        <s v="漫剧品牌F-账号-0535"/>
        <s v="漫剧品牌C-账号-0461"/>
        <s v="漫剧品牌F-账号-0548"/>
        <s v="漫剧品牌F-账号-0541"/>
        <s v="漫剧品牌C-账号-0279"/>
        <s v="漫剧品牌C-账号-0513"/>
        <s v="漫剧品牌F-账号-0305"/>
        <s v="漫剧品牌F-账号-0462"/>
      </sharedItems>
    </cacheField>
    <cacheField name="客户id" numFmtId="49">
      <sharedItems count="1">
        <s v="CUST-001"/>
      </sharedItems>
    </cacheField>
    <cacheField name="客户名称" numFmtId="49">
      <sharedItems count="1">
        <s v="客户主体A"/>
      </sharedItems>
    </cacheField>
    <cacheField name="品牌名称" numFmtId="49">
      <sharedItems count="8">
        <s v="漫剧品牌G"/>
        <s v="漫剧品牌C"/>
        <s v="漫剧品牌F"/>
        <s v="漫剧品牌B"/>
        <s v="漫剧品牌D"/>
        <s v="漫剧品牌E"/>
        <s v="漫剧品牌H"/>
        <s v="漫剧品牌A"/>
      </sharedItems>
    </cacheField>
    <cacheField name="展示量" numFmtId="3">
      <sharedItems containsSemiMixedTypes="0" containsString="0" containsNumber="1" containsInteger="1" minValue="0" maxValue="3859694" count="453">
        <n v="3859694"/>
        <n v="1056097"/>
        <n v="489979"/>
        <n v="1734736"/>
        <n v="398563"/>
        <n v="1826273"/>
        <n v="428357"/>
        <n v="432422"/>
        <n v="370273"/>
        <n v="335083"/>
        <n v="941833"/>
        <n v="263566"/>
        <n v="232456"/>
        <n v="277398"/>
        <n v="225451"/>
        <n v="248820"/>
        <n v="267801"/>
        <n v="233722"/>
        <n v="184156"/>
        <n v="196919"/>
        <n v="279924"/>
        <n v="224998"/>
        <n v="925458"/>
        <n v="253336"/>
        <n v="274071"/>
        <n v="182895"/>
        <n v="203227"/>
        <n v="175269"/>
        <n v="213073"/>
        <n v="158491"/>
        <n v="140552"/>
        <n v="184494"/>
        <n v="124920"/>
        <n v="145561"/>
        <n v="352140"/>
        <n v="124153"/>
        <n v="152481"/>
        <n v="115298"/>
        <n v="102004"/>
        <n v="297041"/>
        <n v="109718"/>
        <n v="97663"/>
        <n v="198155"/>
        <n v="105516"/>
        <n v="116630"/>
        <n v="229278"/>
        <n v="104033"/>
        <n v="306748"/>
        <n v="278282"/>
        <n v="121739"/>
        <n v="356404"/>
        <n v="92834"/>
        <n v="72825"/>
        <n v="82941"/>
        <n v="101643"/>
        <n v="96274"/>
        <n v="108546"/>
        <n v="145547"/>
        <n v="130082"/>
        <n v="95888"/>
        <n v="118767"/>
        <n v="133968"/>
        <n v="127999"/>
        <n v="82514"/>
        <n v="62651"/>
        <n v="105011"/>
        <n v="87538"/>
        <n v="102499"/>
        <n v="65803"/>
        <n v="84196"/>
        <n v="58485"/>
        <n v="230505"/>
        <n v="101560"/>
        <n v="66357"/>
        <n v="59635"/>
        <n v="77541"/>
        <n v="139726"/>
        <n v="54148"/>
        <n v="245918"/>
        <n v="49131"/>
        <n v="41422"/>
        <n v="40537"/>
        <n v="87844"/>
        <n v="47659"/>
        <n v="50247"/>
        <n v="225639"/>
        <n v="78205"/>
        <n v="41956"/>
        <n v="52059"/>
        <n v="81110"/>
        <n v="65578"/>
        <n v="89621"/>
        <n v="51550"/>
        <n v="29878"/>
        <n v="34893"/>
        <n v="29225"/>
        <n v="45556"/>
        <n v="42060"/>
        <n v="36144"/>
        <n v="63048"/>
        <n v="49187"/>
        <n v="60411"/>
        <n v="64881"/>
        <n v="60915"/>
        <n v="37435"/>
        <n v="31136"/>
        <n v="38385"/>
        <n v="36267"/>
        <n v="44225"/>
        <n v="46546"/>
        <n v="41351"/>
        <n v="42301"/>
        <n v="41300"/>
        <n v="23935"/>
        <n v="37469"/>
        <n v="31661"/>
        <n v="32861"/>
        <n v="48231"/>
        <n v="32426"/>
        <n v="56691"/>
        <n v="43139"/>
        <n v="105026"/>
        <n v="36974"/>
        <n v="44877"/>
        <n v="29639"/>
        <n v="299849"/>
        <n v="39135"/>
        <n v="18119"/>
        <n v="41857"/>
        <n v="30993"/>
        <n v="40178"/>
        <n v="29122"/>
        <n v="35316"/>
        <n v="28363"/>
        <n v="46113"/>
        <n v="27105"/>
        <n v="25500"/>
        <n v="47412"/>
        <n v="25129"/>
        <n v="27809"/>
        <n v="22211"/>
        <n v="22104"/>
        <n v="12868"/>
        <n v="19307"/>
        <n v="40584"/>
        <n v="13402"/>
        <n v="34426"/>
        <n v="24618"/>
        <n v="42209"/>
        <n v="41424"/>
        <n v="33580"/>
        <n v="175065"/>
        <n v="17946"/>
        <n v="18138"/>
        <n v="12964"/>
        <n v="28882"/>
        <n v="20449"/>
        <n v="22387"/>
        <n v="41503"/>
        <n v="26724"/>
        <n v="16921"/>
        <n v="30235"/>
        <n v="18868"/>
        <n v="23961"/>
        <n v="14630"/>
        <n v="32578"/>
        <n v="29654"/>
        <n v="28285"/>
        <n v="23188"/>
        <n v="18293"/>
        <n v="23924"/>
        <n v="15360"/>
        <n v="40305"/>
        <n v="31522"/>
        <n v="210814"/>
        <n v="13864"/>
        <n v="20297"/>
        <n v="15112"/>
        <n v="25686"/>
        <n v="19841"/>
        <n v="22574"/>
        <n v="17753"/>
        <n v="16323"/>
        <n v="18463"/>
        <n v="32768"/>
        <n v="29057"/>
        <n v="13371"/>
        <n v="18938"/>
        <n v="20881"/>
        <n v="12186"/>
        <n v="14492"/>
        <n v="14188"/>
        <n v="15358"/>
        <n v="22720"/>
        <n v="14807"/>
        <n v="21656"/>
        <n v="14829"/>
        <n v="17847"/>
        <n v="13085"/>
        <n v="16880"/>
        <n v="38866"/>
        <n v="11396"/>
        <n v="14169"/>
        <n v="10218"/>
        <n v="15858"/>
        <n v="16288"/>
        <n v="19451"/>
        <n v="13059"/>
        <n v="32102"/>
        <n v="28300"/>
        <n v="21118"/>
        <n v="11648"/>
        <n v="12391"/>
        <n v="7894"/>
        <n v="9521"/>
        <n v="3968"/>
        <n v="13933"/>
        <n v="24610"/>
        <n v="12783"/>
        <n v="11916"/>
        <n v="19312"/>
        <n v="9048"/>
        <n v="4891"/>
        <n v="7625"/>
        <n v="7177"/>
        <n v="10730"/>
        <n v="8215"/>
        <n v="37656"/>
        <n v="8174"/>
        <n v="15852"/>
        <n v="12500"/>
        <n v="2266"/>
        <n v="10073"/>
        <n v="17542"/>
        <n v="12597"/>
        <n v="16670"/>
        <n v="17920"/>
        <n v="7530"/>
        <n v="8837"/>
        <n v="8045"/>
        <n v="3555"/>
        <n v="7826"/>
        <n v="8102"/>
        <n v="13966"/>
        <n v="13615"/>
        <n v="8127"/>
        <n v="2756"/>
        <n v="11363"/>
        <n v="9319"/>
        <n v="11641"/>
        <n v="7265"/>
        <n v="37309"/>
        <n v="11462"/>
        <n v="8449"/>
        <n v="9113"/>
        <n v="11701"/>
        <n v="14552"/>
        <n v="8697"/>
        <n v="3277"/>
        <n v="9795"/>
        <n v="10133"/>
        <n v="7496"/>
        <n v="11217"/>
        <n v="199317"/>
        <n v="3427"/>
        <n v="10904"/>
        <n v="9623"/>
        <n v="1954"/>
        <n v="13521"/>
        <n v="5587"/>
        <n v="4207"/>
        <n v="6475"/>
        <n v="5095"/>
        <n v="4370"/>
        <n v="5218"/>
        <n v="5934"/>
        <n v="7167"/>
        <n v="8867"/>
        <n v="3065"/>
        <n v="8453"/>
        <n v="5844"/>
        <n v="7533"/>
        <n v="4310"/>
        <n v="3703"/>
        <n v="890"/>
        <n v="4651"/>
        <n v="1062"/>
        <n v="2132"/>
        <n v="9945"/>
        <n v="3084"/>
        <n v="8601"/>
        <n v="6398"/>
        <n v="3210"/>
        <n v="2222"/>
        <n v="2550"/>
        <n v="2053"/>
        <n v="5766"/>
        <n v="1394"/>
        <n v="3952"/>
        <n v="3459"/>
        <n v="263"/>
        <n v="2269"/>
        <n v="2694"/>
        <n v="2671"/>
        <n v="2373"/>
        <n v="3264"/>
        <n v="351"/>
        <n v="1549"/>
        <n v="2591"/>
        <n v="19044"/>
        <n v="4277"/>
        <n v="11344"/>
        <n v="2031"/>
        <n v="118"/>
        <n v="1462"/>
        <n v="799"/>
        <n v="1080"/>
        <n v="162"/>
        <n v="1134"/>
        <n v="138"/>
        <n v="1538"/>
        <n v="1359"/>
        <n v="30287"/>
        <n v="1014"/>
        <n v="2949"/>
        <n v="714"/>
        <n v="1107"/>
        <n v="1316"/>
        <n v="1280"/>
        <n v="679"/>
        <n v="1379"/>
        <n v="844"/>
        <n v="902"/>
        <n v="607"/>
        <n v="1120"/>
        <n v="468"/>
        <n v="445"/>
        <n v="14667"/>
        <n v="381"/>
        <n v="711"/>
        <n v="520"/>
        <n v="583"/>
        <n v="623"/>
        <n v="282"/>
        <n v="519"/>
        <n v="97"/>
        <n v="642"/>
        <n v="462"/>
        <n v="436"/>
        <n v="383"/>
        <n v="172"/>
        <n v="438"/>
        <n v="361"/>
        <n v="256"/>
        <n v="330"/>
        <n v="299"/>
        <n v="144"/>
        <n v="112"/>
        <n v="410"/>
        <n v="72"/>
        <n v="131"/>
        <n v="154"/>
        <n v="196"/>
        <n v="76"/>
        <n v="240"/>
        <n v="107"/>
        <n v="255"/>
        <n v="472"/>
        <n v="80"/>
        <n v="21"/>
        <n v="11667"/>
        <n v="64"/>
        <n v="185"/>
        <n v="55"/>
        <n v="143"/>
        <n v="225"/>
        <n v="207"/>
        <n v="37"/>
        <n v="94"/>
        <n v="42"/>
        <n v="40"/>
        <n v="68"/>
        <n v="29"/>
        <n v="45"/>
        <n v="78"/>
        <n v="58"/>
        <n v="214"/>
        <n v="54"/>
        <n v="50"/>
        <n v="20"/>
        <n v="70"/>
        <n v="92"/>
        <n v="30"/>
        <n v="48"/>
        <n v="53"/>
        <n v="62"/>
        <n v="187"/>
        <n v="43"/>
        <n v="52"/>
        <n v="47"/>
        <n v="33"/>
        <n v="176"/>
        <n v="38"/>
        <n v="85"/>
        <n v="35"/>
        <n v="23"/>
        <n v="10"/>
        <n v="31"/>
        <n v="18"/>
        <n v="39"/>
        <n v="34"/>
        <n v="16"/>
        <n v="188"/>
        <n v="22"/>
        <n v="24"/>
        <n v="130"/>
        <n v="87"/>
        <n v="26"/>
        <n v="32"/>
        <n v="79"/>
        <n v="7"/>
        <n v="14"/>
        <n v="12"/>
        <n v="27"/>
        <n v="86"/>
        <n v="19"/>
        <n v="105"/>
        <n v="13"/>
        <n v="15"/>
        <n v="582"/>
        <n v="69"/>
        <n v="59"/>
        <n v="9"/>
        <n v="3"/>
        <n v="5"/>
        <n v="96"/>
        <n v="4"/>
        <n v="300"/>
        <n v="884"/>
        <n v="108"/>
        <n v="230"/>
        <n v="2"/>
        <n v="104"/>
        <n v="320"/>
        <n v="6"/>
        <n v="1"/>
        <n v="378"/>
        <n v="28"/>
        <n v="174"/>
        <n v="363"/>
        <n v="324"/>
        <n v="304"/>
        <n v="0"/>
      </sharedItems>
    </cacheField>
    <cacheField name="点击量" numFmtId="3">
      <sharedItems containsSemiMixedTypes="0" containsString="0" containsNumber="1" containsInteger="1" minValue="0" maxValue="175555" count="335">
        <n v="175555"/>
        <n v="17774"/>
        <n v="13837"/>
        <n v="49311"/>
        <n v="4561"/>
        <n v="52402"/>
        <n v="6407"/>
        <n v="12099"/>
        <n v="4471"/>
        <n v="8548"/>
        <n v="44997"/>
        <n v="3495"/>
        <n v="9660"/>
        <n v="7300"/>
        <n v="3777"/>
        <n v="4850"/>
        <n v="10816"/>
        <n v="3728"/>
        <n v="3163"/>
        <n v="5725"/>
        <n v="7847"/>
        <n v="3576"/>
        <n v="39249"/>
        <n v="5044"/>
        <n v="4691"/>
        <n v="4417"/>
        <n v="6472"/>
        <n v="5792"/>
        <n v="6315"/>
        <n v="3815"/>
        <n v="5824"/>
        <n v="7826"/>
        <n v="5535"/>
        <n v="3203"/>
        <n v="9243"/>
        <n v="4464"/>
        <n v="1941"/>
        <n v="4234"/>
        <n v="3468"/>
        <n v="9906"/>
        <n v="4124"/>
        <n v="3830"/>
        <n v="10206"/>
        <n v="3789"/>
        <n v="5612"/>
        <n v="10019"/>
        <n v="4539"/>
        <n v="17570"/>
        <n v="24153"/>
        <n v="3237"/>
        <n v="19609"/>
        <n v="5139"/>
        <n v="2591"/>
        <n v="2054"/>
        <n v="1150"/>
        <n v="3595"/>
        <n v="1867"/>
        <n v="1577"/>
        <n v="1434"/>
        <n v="2213"/>
        <n v="3653"/>
        <n v="2080"/>
        <n v="7052"/>
        <n v="3470"/>
        <n v="3228"/>
        <n v="3156"/>
        <n v="2494"/>
        <n v="5791"/>
        <n v="3564"/>
        <n v="1934"/>
        <n v="2223"/>
        <n v="7545"/>
        <n v="825"/>
        <n v="3735"/>
        <n v="1168"/>
        <n v="2535"/>
        <n v="4095"/>
        <n v="2254"/>
        <n v="2191"/>
        <n v="2222"/>
        <n v="2473"/>
        <n v="847"/>
        <n v="3349"/>
        <n v="3443"/>
        <n v="1004"/>
        <n v="862"/>
        <n v="1396"/>
        <n v="1996"/>
        <n v="3976"/>
        <n v="2595"/>
        <n v="3569"/>
        <n v="2124"/>
        <n v="995"/>
        <n v="1775"/>
        <n v="1506"/>
        <n v="1242"/>
        <n v="1452"/>
        <n v="5963"/>
        <n v="2074"/>
        <n v="2306"/>
        <n v="2602"/>
        <n v="3626"/>
        <n v="3935"/>
        <n v="1197"/>
        <n v="1657"/>
        <n v="2362"/>
        <n v="1117"/>
        <n v="986"/>
        <n v="2059"/>
        <n v="2377"/>
        <n v="3012"/>
        <n v="2081"/>
        <n v="1766"/>
        <n v="1892"/>
        <n v="1346"/>
        <n v="1760"/>
        <n v="2606"/>
        <n v="1286"/>
        <n v="4258"/>
        <n v="2038"/>
        <n v="4940"/>
        <n v="2386"/>
        <n v="1689"/>
        <n v="1700"/>
        <n v="3309"/>
        <n v="1803"/>
        <n v="1100"/>
        <n v="555"/>
        <n v="1691"/>
        <n v="953"/>
        <n v="1864"/>
        <n v="1327"/>
        <n v="2121"/>
        <n v="2196"/>
        <n v="1932"/>
        <n v="1453"/>
        <n v="1484"/>
        <n v="1979"/>
        <n v="1572"/>
        <n v="544"/>
        <n v="827"/>
        <n v="1597"/>
        <n v="1297"/>
        <n v="4895"/>
        <n v="3007"/>
        <n v="533"/>
        <n v="656"/>
        <n v="2161"/>
        <n v="853"/>
        <n v="1028"/>
        <n v="1392"/>
        <n v="1236"/>
        <n v="3697"/>
        <n v="1136"/>
        <n v="878"/>
        <n v="799"/>
        <n v="1316"/>
        <n v="315"/>
        <n v="1016"/>
        <n v="1842"/>
        <n v="997"/>
        <n v="519"/>
        <n v="860"/>
        <n v="273"/>
        <n v="449"/>
        <n v="1119"/>
        <n v="783"/>
        <n v="426"/>
        <n v="479"/>
        <n v="1172"/>
        <n v="899"/>
        <n v="638"/>
        <n v="670"/>
        <n v="549"/>
        <n v="513"/>
        <n v="716"/>
        <n v="615"/>
        <n v="385"/>
        <n v="1794"/>
        <n v="577"/>
        <n v="601"/>
        <n v="678"/>
        <n v="1831"/>
        <n v="594"/>
        <n v="433"/>
        <n v="760"/>
        <n v="745"/>
        <n v="2311"/>
        <n v="666"/>
        <n v="113"/>
        <n v="1103"/>
        <n v="1404"/>
        <n v="994"/>
        <n v="819"/>
        <n v="746"/>
        <n v="852"/>
        <n v="331"/>
        <n v="591"/>
        <n v="515"/>
        <n v="653"/>
        <n v="604"/>
        <n v="546"/>
        <n v="993"/>
        <n v="728"/>
        <n v="452"/>
        <n v="530"/>
        <n v="757"/>
        <n v="432"/>
        <n v="455"/>
        <n v="557"/>
        <n v="855"/>
        <n v="2225"/>
        <n v="499"/>
        <n v="1608"/>
        <n v="713"/>
        <n v="462"/>
        <n v="616"/>
        <n v="767"/>
        <n v="957"/>
        <n v="766"/>
        <n v="1148"/>
        <n v="655"/>
        <n v="730"/>
        <n v="460"/>
        <n v="769"/>
        <n v="531"/>
        <n v="227"/>
        <n v="329"/>
        <n v="413"/>
        <n v="1970"/>
        <n v="197"/>
        <n v="239"/>
        <n v="528"/>
        <n v="563"/>
        <n v="386"/>
        <n v="342"/>
        <n v="614"/>
        <n v="2463"/>
        <n v="172"/>
        <n v="522"/>
        <n v="481"/>
        <n v="2212"/>
        <n v="399"/>
        <n v="443"/>
        <n v="550"/>
        <n v="719"/>
        <n v="301"/>
        <n v="317"/>
        <n v="539"/>
        <n v="637"/>
        <n v="500"/>
        <n v="448"/>
        <n v="3140"/>
        <n v="472"/>
        <n v="376"/>
        <n v="193"/>
        <n v="625"/>
        <n v="565"/>
        <n v="204"/>
        <n v="382"/>
        <n v="1204"/>
        <n v="132"/>
        <n v="323"/>
        <n v="1020"/>
        <n v="199"/>
        <n v="309"/>
        <n v="280"/>
        <n v="256"/>
        <n v="160"/>
        <n v="190"/>
        <n v="1203"/>
        <n v="224"/>
        <n v="222"/>
        <n v="210"/>
        <n v="241"/>
        <n v="242"/>
        <n v="300"/>
        <n v="1030"/>
        <n v="289"/>
        <n v="231"/>
        <n v="149"/>
        <n v="102"/>
        <n v="105"/>
        <n v="214"/>
        <n v="78"/>
        <n v="154"/>
        <n v="156"/>
        <n v="217"/>
        <n v="77"/>
        <n v="124"/>
        <n v="38"/>
        <n v="133"/>
        <n v="89"/>
        <n v="24"/>
        <n v="48"/>
        <n v="29"/>
        <n v="100"/>
        <n v="322"/>
        <n v="119"/>
        <n v="59"/>
        <n v="15"/>
        <n v="44"/>
        <n v="54"/>
        <n v="35"/>
        <n v="106"/>
        <n v="47"/>
        <n v="53"/>
        <n v="43"/>
        <n v="31"/>
        <n v="85"/>
        <n v="94"/>
        <n v="25"/>
        <n v="13"/>
        <n v="22"/>
        <n v="17"/>
        <n v="20"/>
        <n v="10"/>
        <n v="63"/>
        <n v="19"/>
        <n v="16"/>
        <n v="6"/>
        <n v="7"/>
        <n v="4"/>
        <n v="9"/>
        <n v="12"/>
        <n v="8"/>
        <n v="11"/>
        <n v="5"/>
        <n v="2"/>
        <n v="1"/>
        <n v="3"/>
        <n v="30"/>
        <n v="0"/>
        <n v="14"/>
        <n v="18"/>
      </sharedItems>
    </cacheField>
    <cacheField name="三连投放总消耗(毫分)" numFmtId="178">
      <sharedItems containsSemiMixedTypes="0" containsString="0" containsNumber="1" minValue="0" maxValue="11382.8634" count="533">
        <n v="11382.8634"/>
        <n v="9338.76402"/>
        <n v="5128.31276"/>
        <n v="4083.21579"/>
        <n v="4053.70836"/>
        <n v="4046.29215"/>
        <n v="3749.73149"/>
        <n v="3520.89819"/>
        <n v="3378.69299"/>
        <n v="3151.1739"/>
        <n v="2821.76099"/>
        <n v="2714.27644"/>
        <n v="2639.99718"/>
        <n v="2611.22919"/>
        <n v="2566.20095"/>
        <n v="2507.56759"/>
        <n v="2391.85607"/>
        <n v="2390.70189"/>
        <n v="2357.87999"/>
        <n v="2347.42518"/>
        <n v="2292.9031"/>
        <n v="2289.53668"/>
        <n v="2275.40766"/>
        <n v="2271.06367"/>
        <n v="2260.16406"/>
        <n v="2260.09469"/>
        <n v="2230.882"/>
        <n v="2226.36853"/>
        <n v="1930.8693"/>
        <n v="1923.28583"/>
        <n v="1863.11891"/>
        <n v="1861.68007"/>
        <n v="1787.082"/>
        <n v="1785.00947"/>
        <n v="1743.67938"/>
        <n v="1679.96917"/>
        <n v="1515.66987"/>
        <n v="1495.26452"/>
        <n v="1442.07401"/>
        <n v="1427.32467"/>
        <n v="1392.12887"/>
        <n v="1339.8899"/>
        <n v="1334.57001"/>
        <n v="1286.70197"/>
        <n v="1283.63767"/>
        <n v="1281.22965"/>
        <n v="1266.33605"/>
        <n v="1261.57465"/>
        <n v="1228.55712"/>
        <n v="1174.06513"/>
        <n v="1128.97775"/>
        <n v="1089.44338"/>
        <n v="1081.66694"/>
        <n v="1080.28678"/>
        <n v="1070.34078"/>
        <n v="1042.04044"/>
        <n v="1025.64581"/>
        <n v="1009.386"/>
        <n v="905.32843"/>
        <n v="905.19043"/>
        <n v="896.67965"/>
        <n v="887.35169"/>
        <n v="885.88359"/>
        <n v="875.2958"/>
        <n v="857.12362"/>
        <n v="824.62073"/>
        <n v="817.85397"/>
        <n v="806.67553"/>
        <n v="781.09818"/>
        <n v="770.16542"/>
        <n v="736.85731"/>
        <n v="734.75253"/>
        <n v="716.51114"/>
        <n v="712.69223"/>
        <n v="708.10888"/>
        <n v="706.87797"/>
        <n v="698.69827"/>
        <n v="684.77417"/>
        <n v="674.1225"/>
        <n v="669.67043"/>
        <n v="656.41993"/>
        <n v="652.00369"/>
        <n v="635.23895"/>
        <n v="632.40171"/>
        <n v="630.41579"/>
        <n v="623.9305"/>
        <n v="611.58007"/>
        <n v="609.42026"/>
        <n v="607.39919"/>
        <n v="596.38429"/>
        <n v="593.14611"/>
        <n v="589.41093"/>
        <n v="586.02673"/>
        <n v="566.02875"/>
        <n v="565.70202"/>
        <n v="559.21043"/>
        <n v="550.72399"/>
        <n v="548.0431"/>
        <n v="537.14377"/>
        <n v="532.19734"/>
        <n v="529.85237"/>
        <n v="527.78986"/>
        <n v="519.0642"/>
        <n v="502.39328"/>
        <n v="476.61049"/>
        <n v="470.714"/>
        <n v="468.49238"/>
        <n v="463.88435"/>
        <n v="460.31038"/>
        <n v="459.24681"/>
        <n v="454.13996"/>
        <n v="428.47353"/>
        <n v="425.21521"/>
        <n v="423.7592"/>
        <n v="421.24653"/>
        <n v="409.88565"/>
        <n v="407.47697"/>
        <n v="406.99323"/>
        <n v="389.0271"/>
        <n v="388.35091"/>
        <n v="388.05928"/>
        <n v="383.54844"/>
        <n v="382.22605"/>
        <n v="382.16421"/>
        <n v="381.10115"/>
        <n v="379.25314"/>
        <n v="378.24487"/>
        <n v="375.5523"/>
        <n v="367.70458"/>
        <n v="361.37452"/>
        <n v="360.50931"/>
        <n v="360.22397"/>
        <n v="356.43841"/>
        <n v="350.95353"/>
        <n v="350.72834"/>
        <n v="347.554"/>
        <n v="347.38078"/>
        <n v="344.22097"/>
        <n v="342.3293"/>
        <n v="337.03817"/>
        <n v="333.8161"/>
        <n v="330.34915"/>
        <n v="329.09628"/>
        <n v="323.46154"/>
        <n v="323.33709"/>
        <n v="305.89073"/>
        <n v="303.73944"/>
        <n v="299.22025"/>
        <n v="296.33058"/>
        <n v="292.89522"/>
        <n v="292.59007"/>
        <n v="280.02054"/>
        <n v="276.09584"/>
        <n v="274.62695"/>
        <n v="270.41039"/>
        <n v="269.562"/>
        <n v="267.29305"/>
        <n v="266.473"/>
        <n v="266.21636"/>
        <n v="254.53001"/>
        <n v="253.81802"/>
        <n v="250.71731"/>
        <n v="249.86256"/>
        <n v="249.66342"/>
        <n v="241.26771"/>
        <n v="240.48821"/>
        <n v="237.9581"/>
        <n v="232.08135"/>
        <n v="229.68256"/>
        <n v="228.34604"/>
        <n v="228.00167"/>
        <n v="223.92205"/>
        <n v="220.38431"/>
        <n v="213.46321"/>
        <n v="205.08926"/>
        <n v="204.25289"/>
        <n v="200.07373"/>
        <n v="198.90488"/>
        <n v="197.23361"/>
        <n v="195.2695"/>
        <n v="195.04553"/>
        <n v="194.65204"/>
        <n v="194.46896"/>
        <n v="194.4601"/>
        <n v="190.72952"/>
        <n v="189.08092"/>
        <n v="186.70776"/>
        <n v="184.49897"/>
        <n v="183.84966"/>
        <n v="181.02382"/>
        <n v="179.88707"/>
        <n v="177.04193"/>
        <n v="175.44101"/>
        <n v="173.42704"/>
        <n v="172.47245"/>
        <n v="172.34562"/>
        <n v="172.25698"/>
        <n v="170.02102"/>
        <n v="168.32625"/>
        <n v="168.11661"/>
        <n v="168.09604"/>
        <n v="166.96773"/>
        <n v="165.59414"/>
        <n v="163.11164"/>
        <n v="162.99002"/>
        <n v="161.13148"/>
        <n v="160.68464"/>
        <n v="156.12393"/>
        <n v="155.97726"/>
        <n v="155.28696"/>
        <n v="152.87266"/>
        <n v="152.65137"/>
        <n v="151.35178"/>
        <n v="150.53023"/>
        <n v="149.69078"/>
        <n v="149.49352"/>
        <n v="147.5052"/>
        <n v="146.95317"/>
        <n v="145.31123"/>
        <n v="143.66771"/>
        <n v="141.41445"/>
        <n v="140.99789"/>
        <n v="137.42339"/>
        <n v="136.61571"/>
        <n v="130.33594"/>
        <n v="127.17474"/>
        <n v="126.98178"/>
        <n v="126.97538"/>
        <n v="125.9557"/>
        <n v="124.47311"/>
        <n v="124.0656"/>
        <n v="123.95474"/>
        <n v="123.06044"/>
        <n v="122.01149"/>
        <n v="121.71102"/>
        <n v="121.29872"/>
        <n v="121.12262"/>
        <n v="120.97644"/>
        <n v="119.61161"/>
        <n v="118.92106"/>
        <n v="118.62135"/>
        <n v="118.15571"/>
        <n v="115.19367"/>
        <n v="113.62012"/>
        <n v="113.03322"/>
        <n v="112.28936"/>
        <n v="112.04685"/>
        <n v="111.60662"/>
        <n v="110.31779"/>
        <n v="109.62068"/>
        <n v="108.78182"/>
        <n v="108.46529"/>
        <n v="108.21683"/>
        <n v="105.75709"/>
        <n v="100.06628"/>
        <n v="99.34642"/>
        <n v="98.24397"/>
        <n v="93.7674"/>
        <n v="93.2949"/>
        <n v="89.68562"/>
        <n v="87.20907"/>
        <n v="86.48662"/>
        <n v="84.44147"/>
        <n v="83.96988"/>
        <n v="83.51859"/>
        <n v="78.64083"/>
        <n v="77.97289"/>
        <n v="73.06081"/>
        <n v="72.8053"/>
        <n v="70.96856"/>
        <n v="69.02431"/>
        <n v="66.66838"/>
        <n v="62.49129"/>
        <n v="60.16671"/>
        <n v="60.00704"/>
        <n v="56.99276"/>
        <n v="56.91995"/>
        <n v="55.97875"/>
        <n v="54.48686"/>
        <n v="54.29732"/>
        <n v="54.11646"/>
        <n v="53.40356"/>
        <n v="50.59444"/>
        <n v="49.36661"/>
        <n v="46.09086"/>
        <n v="44.48665"/>
        <n v="43.36249"/>
        <n v="43.03074"/>
        <n v="42.38822"/>
        <n v="40.62916"/>
        <n v="40.50663"/>
        <n v="39.19503"/>
        <n v="34.96459"/>
        <n v="33.4602"/>
        <n v="33.15871"/>
        <n v="30.26452"/>
        <n v="29.32218"/>
        <n v="28.69485"/>
        <n v="28.40414"/>
        <n v="27.58353"/>
        <n v="26.83142"/>
        <n v="25.22141"/>
        <n v="23.6496"/>
        <n v="22.85277"/>
        <n v="21.87844"/>
        <n v="21.34144"/>
        <n v="20.98873"/>
        <n v="19.08474"/>
        <n v="18.12727"/>
        <n v="17.66756"/>
        <n v="16.49016"/>
        <n v="14.5821"/>
        <n v="14.51612"/>
        <n v="14.45069"/>
        <n v="14.22761"/>
        <n v="13.11506"/>
        <n v="12.94513"/>
        <n v="12.54952"/>
        <n v="12.30943"/>
        <n v="11.90368"/>
        <n v="10.90001"/>
        <n v="9.62109"/>
        <n v="9.53299"/>
        <n v="9.50104"/>
        <n v="8.59741"/>
        <n v="8.41718"/>
        <n v="6.41123"/>
        <n v="6.33316"/>
        <n v="5.81439"/>
        <n v="5.27953"/>
        <n v="5.02674"/>
        <n v="4.85945"/>
        <n v="4.48759"/>
        <n v="4.34211"/>
        <n v="4.01477"/>
        <n v="3.84972"/>
        <n v="3.57097"/>
        <n v="3.42095"/>
        <n v="3.33179"/>
        <n v="3.17065"/>
        <n v="3.06174"/>
        <n v="2.9107"/>
        <n v="2.66282"/>
        <n v="2.64136"/>
        <n v="2.41001"/>
        <n v="2.34349"/>
        <n v="1.84938"/>
        <n v="1.8311"/>
        <n v="1.73021"/>
        <n v="1.72592"/>
        <n v="1.65827"/>
        <n v="1.4637"/>
        <n v="1.43785"/>
        <n v="1.37621"/>
        <n v="1.33149"/>
        <n v="0.92875"/>
        <n v="0.9227"/>
        <n v="0.89659"/>
        <n v="0.88658"/>
        <n v="0.87179"/>
        <n v="0.85511"/>
        <n v="0.81865"/>
        <n v="0.80146"/>
        <n v="0.78132"/>
        <n v="0.71317"/>
        <n v="0.68752"/>
        <n v="0.68575"/>
        <n v="0.61865"/>
        <n v="0.56957"/>
        <n v="0.56754"/>
        <n v="0.55936"/>
        <n v="0.4993"/>
        <n v="0.49105"/>
        <n v="0.48305"/>
        <n v="0.46571"/>
        <n v="0.44"/>
        <n v="0.40101"/>
        <n v="0.39893"/>
        <n v="0.36861"/>
        <n v="0.36595"/>
        <n v="0.34614"/>
        <n v="0.32605"/>
        <n v="0.32583"/>
        <n v="0.32121"/>
        <n v="0.31267"/>
        <n v="0.30019"/>
        <n v="0.29194"/>
        <n v="0.26061"/>
        <n v="0.25871"/>
        <n v="0.25845"/>
        <n v="0.25092"/>
        <n v="0.24693"/>
        <n v="0.24325"/>
        <n v="0.24245"/>
        <n v="0.24239"/>
        <n v="0.22591"/>
        <n v="0.22496"/>
        <n v="0.22333"/>
        <n v="0.21291"/>
        <n v="0.21191"/>
        <n v="0.20913"/>
        <n v="0.20763"/>
        <n v="0.20739"/>
        <n v="0.20311"/>
        <n v="0.20204"/>
        <n v="0.20094"/>
        <n v="0.19981"/>
        <n v="0.19915"/>
        <n v="0.19847"/>
        <n v="0.1965"/>
        <n v="0.19629"/>
        <n v="0.19425"/>
        <n v="0.1933"/>
        <n v="0.18775"/>
        <n v="0.18442"/>
        <n v="0.18275"/>
        <n v="0.17444"/>
        <n v="0.17307"/>
        <n v="0.17255"/>
        <n v="0.1701"/>
        <n v="0.16839"/>
        <n v="0.1671"/>
        <n v="0.1667"/>
        <n v="0.16068"/>
        <n v="0.15684"/>
        <n v="0.15114"/>
        <n v="0.13831"/>
        <n v="0.13804"/>
        <n v="0.1367"/>
        <n v="0.13537"/>
        <n v="0.13411"/>
        <n v="0.13314"/>
        <n v="0.13099"/>
        <n v="0.13049"/>
        <n v="0.12904"/>
        <n v="0.12808"/>
        <n v="0.1266"/>
        <n v="0.12488"/>
        <n v="0.1247"/>
        <n v="0.12263"/>
        <n v="0.1226"/>
        <n v="0.11987"/>
        <n v="0.11701"/>
        <n v="0.11215"/>
        <n v="0.11001"/>
        <n v="0.10973"/>
        <n v="0.10905"/>
        <n v="0.10817"/>
        <n v="0.10791"/>
        <n v="0.10226"/>
        <n v="0.10008"/>
        <n v="0.0974"/>
        <n v="0.0964"/>
        <n v="0.09615"/>
        <n v="0.09608"/>
        <n v="0.09408"/>
        <n v="0.0932"/>
        <n v="0.093"/>
        <n v="0.08986"/>
        <n v="0.08667"/>
        <n v="0.08316"/>
        <n v="0.07635"/>
        <n v="0.07544"/>
        <n v="0.07013"/>
        <n v="0.06721"/>
        <n v="0.06664"/>
        <n v="0.06634"/>
        <n v="0.06129"/>
        <n v="0.0602"/>
        <n v="0.05827"/>
        <n v="0.05594"/>
        <n v="0.0548"/>
        <n v="0.05466"/>
        <n v="0.04971"/>
        <n v="0.04779"/>
        <n v="0.04318"/>
        <n v="0.04218"/>
        <n v="0.04185"/>
        <n v="0.04093"/>
        <n v="0.03889"/>
        <n v="0.03726"/>
        <n v="0.03676"/>
        <n v="0.03081"/>
        <n v="0.02903"/>
        <n v="0.02866"/>
        <n v="0.02742"/>
        <n v="0.02612"/>
        <n v="0.02148"/>
        <n v="0.02029"/>
        <n v="0.01995"/>
        <n v="0.01948"/>
        <n v="0.01683"/>
        <n v="0.01668"/>
        <n v="0.01559"/>
        <n v="0.01526"/>
        <n v="0.01477"/>
        <n v="0.01361"/>
        <n v="0.01298"/>
        <n v="0.01297"/>
        <n v="0.01106"/>
        <n v="0.01032"/>
        <n v="0.01015"/>
        <n v="0.00959"/>
        <n v="0.00957"/>
        <n v="0.00775"/>
        <n v="0.00716"/>
        <n v="0.00675"/>
        <n v="0.00654"/>
        <n v="0.00586"/>
        <n v="0.00568"/>
        <n v="0.00509"/>
        <n v="0.00487"/>
        <n v="0.00469"/>
        <n v="0.00424"/>
        <n v="0.00389"/>
        <n v="0.00368"/>
        <n v="0.00359"/>
        <n v="0.00303"/>
        <n v="0.00277"/>
        <n v="0.00231"/>
        <n v="0.00222"/>
        <n v="0.00195"/>
        <n v="0.00156"/>
        <n v="0.00146"/>
        <n v="0.00136"/>
        <n v="0.00123"/>
        <n v="0.00116"/>
        <n v="0.00091"/>
        <n v="0.00066"/>
        <n v="0.00034"/>
        <n v="0.00015"/>
        <n v="0.00011"/>
        <n v="0"/>
      </sharedItems>
    </cacheField>
    <cacheField name="整体实收总消耗" numFmtId="4">
      <sharedItems containsSemiMixedTypes="0" containsString="0" containsNumber="1" minValue="0" maxValue="11382.75" count="402">
        <n v="11382.75"/>
        <n v="9338.66"/>
        <n v="5128.2"/>
        <n v="4083.1"/>
        <n v="4053.58"/>
        <n v="4046.06"/>
        <n v="3749.6"/>
        <n v="3520.77"/>
        <n v="3378.56"/>
        <n v="3151.07"/>
        <n v="2821.66"/>
        <n v="2714.15"/>
        <n v="2639.9"/>
        <n v="2611.1"/>
        <n v="2566.09"/>
        <n v="2507.46"/>
        <n v="2391.72"/>
        <n v="2390.6"/>
        <n v="2357.76"/>
        <n v="2347.33"/>
        <n v="2292.8"/>
        <n v="2289.42"/>
        <n v="2275.28"/>
        <n v="2270.93"/>
        <n v="2260.05"/>
        <n v="2259.99"/>
        <n v="2230.79"/>
        <n v="2226.34"/>
        <n v="1930.75"/>
        <n v="1923.16"/>
        <n v="1863"/>
        <n v="1861.6"/>
        <n v="1786.94"/>
        <n v="1784.89"/>
        <n v="1743.57"/>
        <n v="1679.87"/>
        <n v="1515.56"/>
        <n v="1495.16"/>
        <n v="1441.97"/>
        <n v="1427.23"/>
        <n v="1392.04"/>
        <n v="1339.88"/>
        <n v="1334.47"/>
        <n v="1286.63"/>
        <n v="1283.51"/>
        <n v="1281.1"/>
        <n v="1266.24"/>
        <n v="1261.47"/>
        <n v="1228.43"/>
        <n v="1173.97"/>
        <n v="1128.86"/>
        <n v="1089.32"/>
        <n v="1081.53"/>
        <n v="1080.16"/>
        <n v="1070.22"/>
        <n v="1041.93"/>
        <n v="1025.57"/>
        <n v="1009.28"/>
        <n v="905.26"/>
        <n v="905.11"/>
        <n v="896.59"/>
        <n v="887.27"/>
        <n v="885.76"/>
        <n v="875.16"/>
        <n v="857.06"/>
        <n v="824.51"/>
        <n v="817.78"/>
        <n v="806.59"/>
        <n v="780.99"/>
        <n v="770.06"/>
        <n v="736.79"/>
        <n v="734.63"/>
        <n v="716.4"/>
        <n v="712.57"/>
        <n v="708.01"/>
        <n v="706.77"/>
        <n v="698.58"/>
        <n v="684.67"/>
        <n v="674"/>
        <n v="669.59"/>
        <n v="656.34"/>
        <n v="651.89"/>
        <n v="635.12"/>
        <n v="632.29"/>
        <n v="630.3"/>
        <n v="623.83"/>
        <n v="611.47"/>
        <n v="609.32"/>
        <n v="607.33"/>
        <n v="596.25"/>
        <n v="593.06"/>
        <n v="589.3"/>
        <n v="585.93"/>
        <n v="565.97"/>
        <n v="565.65"/>
        <n v="559.13"/>
        <n v="550.66"/>
        <n v="547.98"/>
        <n v="537.12"/>
        <n v="532.08"/>
        <n v="529.74"/>
        <n v="527.69"/>
        <n v="518.96"/>
        <n v="502.32"/>
        <n v="476.55"/>
        <n v="470.61"/>
        <n v="468.4"/>
        <n v="463.75"/>
        <n v="460.25"/>
        <n v="459.16"/>
        <n v="454.02"/>
        <n v="428.35"/>
        <n v="425.09"/>
        <n v="423.64"/>
        <n v="421.19"/>
        <n v="409.83"/>
        <n v="407.4"/>
        <n v="406.84"/>
        <n v="388.98"/>
        <n v="388.27"/>
        <n v="387.98"/>
        <n v="383.45"/>
        <n v="382.09"/>
        <n v="382.06"/>
        <n v="381.01"/>
        <n v="379.15"/>
        <n v="378.14"/>
        <n v="375.42"/>
        <n v="367.61"/>
        <n v="361.28"/>
        <n v="360.41"/>
        <n v="360.14"/>
        <n v="356.32"/>
        <n v="350.84"/>
        <n v="350.64"/>
        <n v="347.48"/>
        <n v="347.27"/>
        <n v="344.12"/>
        <n v="342.23"/>
        <n v="337"/>
        <n v="333.71"/>
        <n v="330.28"/>
        <n v="329.03"/>
        <n v="323.36"/>
        <n v="323.27"/>
        <n v="305.87"/>
        <n v="303.62"/>
        <n v="299.13"/>
        <n v="296.23"/>
        <n v="292.78"/>
        <n v="292.5"/>
        <n v="279.89"/>
        <n v="276"/>
        <n v="274.52"/>
        <n v="270.37"/>
        <n v="269.46"/>
        <n v="267.22"/>
        <n v="266.36"/>
        <n v="266.14"/>
        <n v="254.44"/>
        <n v="253.72"/>
        <n v="250.61"/>
        <n v="249.74"/>
        <n v="249.61"/>
        <n v="241.15"/>
        <n v="240.37"/>
        <n v="237.86"/>
        <n v="231.99"/>
        <n v="229.59"/>
        <n v="228.27"/>
        <n v="227.9"/>
        <n v="223.8"/>
        <n v="220.31"/>
        <n v="213.37"/>
        <n v="204.97"/>
        <n v="204.15"/>
        <n v="200.02"/>
        <n v="198.81"/>
        <n v="197.18"/>
        <n v="195.22"/>
        <n v="194.95"/>
        <n v="194.57"/>
        <n v="194.41"/>
        <n v="194.36"/>
        <n v="190.65"/>
        <n v="189.04"/>
        <n v="186.64"/>
        <n v="184.42"/>
        <n v="183.78"/>
        <n v="180.99"/>
        <n v="179.77"/>
        <n v="176.96"/>
        <n v="175.34"/>
        <n v="173.35"/>
        <n v="172.36"/>
        <n v="172.25"/>
        <n v="172.2"/>
        <n v="169.95"/>
        <n v="168.21"/>
        <n v="168.03"/>
        <n v="167.98"/>
        <n v="166.86"/>
        <n v="165.5"/>
        <n v="163.06"/>
        <n v="162.93"/>
        <n v="161.05"/>
        <n v="160.59"/>
        <n v="156.05"/>
        <n v="155.9"/>
        <n v="155.19"/>
        <n v="152.82"/>
        <n v="152.57"/>
        <n v="151.29"/>
        <n v="150.49"/>
        <n v="149.61"/>
        <n v="149.46"/>
        <n v="147.39"/>
        <n v="146.85"/>
        <n v="145.21"/>
        <n v="143.57"/>
        <n v="141.31"/>
        <n v="140.9"/>
        <n v="137.38"/>
        <n v="136.53"/>
        <n v="130.24"/>
        <n v="127.08"/>
        <n v="126.89"/>
        <n v="125.88"/>
        <n v="124.37"/>
        <n v="124.01"/>
        <n v="123.94"/>
        <n v="122.95"/>
        <n v="121.92"/>
        <n v="121.6"/>
        <n v="121.21"/>
        <n v="121.08"/>
        <n v="120.91"/>
        <n v="119.53"/>
        <n v="118.84"/>
        <n v="118.57"/>
        <n v="118.08"/>
        <n v="115.14"/>
        <n v="113.54"/>
        <n v="112.96"/>
        <n v="112.2"/>
        <n v="112.01"/>
        <n v="111.53"/>
        <n v="110.22"/>
        <n v="109.55"/>
        <n v="108.69"/>
        <n v="108.39"/>
        <n v="108.13"/>
        <n v="105.69"/>
        <n v="99.94"/>
        <n v="99.31"/>
        <n v="98.16"/>
        <n v="93.64"/>
        <n v="93.28"/>
        <n v="89.6"/>
        <n v="87.15"/>
        <n v="86.44"/>
        <n v="84.34"/>
        <n v="83.84"/>
        <n v="83.47"/>
        <n v="78.55"/>
        <n v="77.93"/>
        <n v="73.05"/>
        <n v="72.69"/>
        <n v="70.92"/>
        <n v="68.99"/>
        <n v="66.56"/>
        <n v="62.46"/>
        <n v="60.07"/>
        <n v="59.93"/>
        <n v="56.95"/>
        <n v="56.8"/>
        <n v="55.88"/>
        <n v="54.45"/>
        <n v="54.23"/>
        <n v="54.01"/>
        <n v="53.29"/>
        <n v="50.58"/>
        <n v="49.34"/>
        <n v="46.07"/>
        <n v="44.39"/>
        <n v="43.35"/>
        <n v="43"/>
        <n v="42.32"/>
        <n v="40.52"/>
        <n v="40.42"/>
        <n v="39.13"/>
        <n v="34.95"/>
        <n v="33.39"/>
        <n v="33.07"/>
        <n v="30.26"/>
        <n v="29.28"/>
        <n v="28.68"/>
        <n v="28.31"/>
        <n v="27.52"/>
        <n v="26.82"/>
        <n v="25.19"/>
        <n v="23.57"/>
        <n v="22.82"/>
        <n v="21.86"/>
        <n v="21.31"/>
        <n v="20.94"/>
        <n v="19.08"/>
        <n v="18.1"/>
        <n v="17.59"/>
        <n v="16.46"/>
        <n v="14.51"/>
        <n v="14.44"/>
        <n v="14.41"/>
        <n v="14.22"/>
        <n v="13.1"/>
        <n v="12.94"/>
        <n v="12.53"/>
        <n v="12.29"/>
        <n v="11.89"/>
        <n v="10.9"/>
        <n v="9.55"/>
        <n v="9.45"/>
        <n v="9.47"/>
        <n v="8.58"/>
        <n v="8.3"/>
        <n v="6.4"/>
        <n v="6.23"/>
        <n v="5.81"/>
        <n v="5.26"/>
        <n v="5.02"/>
        <n v="4.85"/>
        <n v="4.48"/>
        <n v="4.25"/>
        <n v="4"/>
        <n v="3.84"/>
        <n v="3.56"/>
        <n v="3.36"/>
        <n v="3.32"/>
        <n v="3.17"/>
        <n v="3.06"/>
        <n v="2.9"/>
        <n v="2.56"/>
        <n v="2.63"/>
        <n v="2.41"/>
        <n v="2.25"/>
        <n v="1.84"/>
        <n v="1.83"/>
        <n v="1.72"/>
        <n v="1.58"/>
        <n v="1.44"/>
        <n v="1.35"/>
        <n v="1.37"/>
        <n v="1.32"/>
        <n v="0.85"/>
        <n v="0.91"/>
        <n v="0.83"/>
        <n v="0.88"/>
        <n v="0.84"/>
        <n v="0.78"/>
        <n v="0.75"/>
        <n v="0.71"/>
        <n v="0.66"/>
        <n v="0.68"/>
        <n v="0.59"/>
        <n v="0.56"/>
        <n v="0.55"/>
        <n v="0.48"/>
        <n v="0.42"/>
        <n v="0.46"/>
        <n v="0.43"/>
        <n v="0.39"/>
        <n v="0.4"/>
        <n v="0.36"/>
        <n v="0.34"/>
        <n v="0.29"/>
        <n v="0.31"/>
        <n v="0.3"/>
        <n v="0.27"/>
        <n v="0.26"/>
        <n v="0.24"/>
        <n v="0.23"/>
        <n v="0.21"/>
        <n v="0.2"/>
        <n v="0.19"/>
        <n v="0.18"/>
        <n v="0.16"/>
        <n v="0.15"/>
        <n v="0.14"/>
        <n v="0.13"/>
        <n v="0.12"/>
        <n v="0.11"/>
        <n v="0.09"/>
        <n v="0.1"/>
        <n v="0.07"/>
        <n v="0.08"/>
        <n v="0.06"/>
        <n v="0.04"/>
        <n v="0.05"/>
        <n v="0.02"/>
        <n v="0.03"/>
        <n v="0.01"/>
        <n v="0"/>
      </sharedItems>
    </cacheField>
    <cacheField name="点击率" numFmtId="10">
      <sharedItems containsSemiMixedTypes="0" containsString="0" containsNumber="1" minValue="0" maxValue="1" count="440">
        <n v="0.045484175688539"/>
        <n v="0.0168298934662252"/>
        <n v="0.0282399857953096"/>
        <n v="0.028425650934782"/>
        <n v="0.0114436111731395"/>
        <n v="0.0286934100213933"/>
        <n v="0.0149571502274972"/>
        <n v="0.0279796125081518"/>
        <n v="0.012074874484502"/>
        <n v="0.0255100974982318"/>
        <n v="0.0477759857639306"/>
        <n v="0.0132604357162912"/>
        <n v="0.0415562515056613"/>
        <n v="0.0263159792067715"/>
        <n v="0.0167530860364336"/>
        <n v="0.0194920022506229"/>
        <n v="0.0403881986997808"/>
        <n v="0.0159505737585679"/>
        <n v="0.0171756554225765"/>
        <n v="0.0290728675242105"/>
        <n v="0.0280326088509738"/>
        <n v="0.0158934746086632"/>
        <n v="0.0424103524957373"/>
        <n v="0.0199103167335081"/>
        <n v="0.0171160027875988"/>
        <n v="0.0241504688482463"/>
        <n v="0.0318461621733333"/>
        <n v="0.033046345902584"/>
        <n v="0.029637729792137"/>
        <n v="0.0240707674252797"/>
        <n v="0.0414366213216461"/>
        <n v="0.0424187236441293"/>
        <n v="0.0443083573487032"/>
        <n v="0.0220045204416018"/>
        <n v="0.0262480831487477"/>
        <n v="0.0359556353853713"/>
        <n v="0.0127294548173215"/>
        <n v="0.0367222328227723"/>
        <n v="0.0339986667189522"/>
        <n v="0.033348931628967"/>
        <n v="0.0375872691809913"/>
        <n v="0.0392164893562557"/>
        <n v="0.0515051348691681"/>
        <n v="0.0359092459911293"/>
        <n v="0.0481179799365515"/>
        <n v="0.0436980434232678"/>
        <n v="0.0436303865119722"/>
        <n v="0.0572782870629963"/>
        <n v="0.0867932528873589"/>
        <n v="0.0265896713460764"/>
        <n v="0.0550190233555179"/>
        <n v="0.0553568735592563"/>
        <n v="0.0355784414692757"/>
        <n v="0.0247645916977128"/>
        <n v="0.0113141091860728"/>
        <n v="0.0373413382637057"/>
        <n v="0.0172000810716194"/>
        <n v="0.0108349880107457"/>
        <n v="0.0110238157469904"/>
        <n v="0.0230790088436509"/>
        <n v="0.0307577020552847"/>
        <n v="0.0155260957840678"/>
        <n v="0.0550941804232846"/>
        <n v="0.0420534697142303"/>
        <n v="0.0515235191776668"/>
        <n v="0.0300539943434497"/>
        <n v="0.0284904841326053"/>
        <n v="0.0564981121767042"/>
        <n v="0.0541616643618072"/>
        <n v="0.0229702123616324"/>
        <n v="0.0380097460887407"/>
        <n v="0.0327324786880979"/>
        <n v="0.00812327688066168"/>
        <n v="0.0562864505628645"/>
        <n v="0.0195858137000084"/>
        <n v="0.0326923820946338"/>
        <n v="0.032642457380874"/>
        <n v="0.0756260619044101"/>
        <n v="0.00916565684496458"/>
        <n v="0.0445950621807006"/>
        <n v="0.0536429916469509"/>
        <n v="0.0610059945235217"/>
        <n v="0.00964209280087428"/>
        <n v="0.0702700434335593"/>
        <n v="0.0685215037713694"/>
        <n v="0.00444958539968711"/>
        <n v="0.011022313151333"/>
        <n v="0.0332729526170274"/>
        <n v="0.0383411129679786"/>
        <n v="0.0490198495869806"/>
        <n v="0.0395711976577511"/>
        <n v="0.0398232557101572"/>
        <n v="0.0412027158098933"/>
        <n v="0.0333020951870942"/>
        <n v="0.0508698019660104"/>
        <n v="0.0515312232677502"/>
        <n v="0.0272631486522083"/>
        <n v="0.0345221112696148"/>
        <n v="0.164978972996901"/>
        <n v="0.032895571627966"/>
        <n v="0.0468823063004452"/>
        <n v="0.0430716260283723"/>
        <n v="0.0558869314591329"/>
        <n v="0.0645982106213576"/>
        <n v="0.0319754240683852"/>
        <n v="0.0532181397738952"/>
        <n v="0.0615344535625896"/>
        <n v="0.0307993492706869"/>
        <n v="0.0222950819672131"/>
        <n v="0.0442358097366046"/>
        <n v="0.0574834949578003"/>
        <n v="0.0712039904493984"/>
        <n v="0.0503874092009685"/>
        <n v="0.0737831627324003"/>
        <n v="0.050495075929435"/>
        <n v="0.0425128707242349"/>
        <n v="0.0535589300386476"/>
        <n v="0.0540316394020443"/>
        <n v="0.0396595324739407"/>
        <n v="0.0751089238150677"/>
        <n v="0.0472426342752498"/>
        <n v="0.0470359720450174"/>
        <n v="0.0645318331800725"/>
        <n v="0.0376362056287185"/>
        <n v="0.0573568608927427"/>
        <n v="0.0110355545624631"/>
        <n v="0.046071291682637"/>
        <n v="0.0607097521938297"/>
        <n v="0.0132594309195595"/>
        <n v="0.0545607072564773"/>
        <n v="0.023719448454378"/>
        <n v="0.0640065929537807"/>
        <n v="0.0325631441839393"/>
        <n v="0.0467863061030215"/>
        <n v="0.045995706199987"/>
        <n v="0.0810182623132263"/>
        <n v="0.0757647058823529"/>
        <n v="0.0306462498945415"/>
        <n v="0.0590552747821242"/>
        <n v="0.0711640116509044"/>
        <n v="0.0707757417495835"/>
        <n v="0.0246109301483894"/>
        <n v="0.0642679515076158"/>
        <n v="0.0827161133267727"/>
        <n v="0.0319584072540903"/>
        <n v="0.365243993433816"/>
        <n v="0.0873467727880091"/>
        <n v="0.0216508245998863"/>
        <n v="0.01554170911417"/>
        <n v="0.0521678254152182"/>
        <n v="0.0254020250148898"/>
        <n v="0.00587210464684546"/>
        <n v="0.0775660314276162"/>
        <n v="0.0681442275884883"/>
        <n v="0.28517432891083"/>
        <n v="0.0393324562010941"/>
        <n v="0.0429360848941269"/>
        <n v="0.0356903560101845"/>
        <n v="0.0317085511890707"/>
        <n v="0.0117871576111361"/>
        <n v="0.0600437326399149"/>
        <n v="0.0609227716222921"/>
        <n v="0.0528407886368455"/>
        <n v="0.0216601978214599"/>
        <n v="0.0587833219412167"/>
        <n v="0.00837988826815643"/>
        <n v="0.0151412962838066"/>
        <n v="0.0395616050910377"/>
        <n v="0.0337674659306538"/>
        <n v="0.02328759634833"/>
        <n v="0.0200217354957365"/>
        <n v="0.0763020833333333"/>
        <n v="0.022304924947277"/>
        <n v="0.0202398324979379"/>
        <n v="0.00317815704839337"/>
        <n v="0.039598961338719"/>
        <n v="0.0252746711336651"/>
        <n v="0.0473795659078878"/>
        <n v="0.0239430039710348"/>
        <n v="0.019404263897989"/>
        <n v="0.0794719588907593"/>
        <n v="0.0325015490339661"/>
        <n v="0.0368192121546284"/>
        <n v="0.0367220928343173"/>
        <n v="0.055877685546875"/>
        <n v="0.0204425783804247"/>
        <n v="0.0323835165657019"/>
        <n v="0.0401309536381878"/>
        <n v="0.0356783678942579"/>
        <n v="0.189643853602495"/>
        <n v="0.0459563897322661"/>
        <n v="0.0079644770228362"/>
        <n v="0.0718192472978252"/>
        <n v="0.0617957746478873"/>
        <n v="0.0671304112919565"/>
        <n v="0.0378186183967492"/>
        <n v="0.0503068312091173"/>
        <n v="0.0477391158177845"/>
        <n v="0.0252961406190294"/>
        <n v="0.0350118483412322"/>
        <n v="0.0132506561004477"/>
        <n v="0.0573008073008073"/>
        <n v="0.042628272990331"/>
        <n v="0.0534351145038168"/>
        <n v="0.0626182368520621"/>
        <n v="0.0446954813359529"/>
        <n v="0.0232378798005244"/>
        <n v="0.0405850371391378"/>
        <n v="0.0235810852906361"/>
        <n v="0.0152650176678445"/>
        <n v="0.021545600909177"/>
        <n v="0.0478193681318681"/>
        <n v="0.0690016947784682"/>
        <n v="0.281859640233088"/>
        <n v="0.0524104610860204"/>
        <n v="0.405241935483871"/>
        <n v="0.0511734730495945"/>
        <n v="0.018772856562373"/>
        <n v="0.0481890010169757"/>
        <n v="0.0643672373279624"/>
        <n v="0.0495546810273405"/>
        <n v="0.0846595932802829"/>
        <n v="0.23471682682478"/>
        <n v="0.0859016393442623"/>
        <n v="0.101713807997771"/>
        <n v="0.0428704566635601"/>
        <n v="0.0936092513694461"/>
        <n v="0.0141013384321224"/>
        <n v="0.0277709811597749"/>
        <n v="0.0207544789301035"/>
        <n v="0.03304"/>
        <n v="0.869373345101501"/>
        <n v="0.0195572322049042"/>
        <n v="0.0136244441910843"/>
        <n v="0.0419147416051441"/>
        <n v="0.0337732453509298"/>
        <n v="0.0407366071428571"/>
        <n v="0.051261620185923"/>
        <n v="0.0387009166006563"/>
        <n v="0.0763206960845246"/>
        <n v="0.692827004219409"/>
        <n v="0.021978021978022"/>
        <n v="0.0570229572944952"/>
        <n v="0.0373764857511098"/>
        <n v="0.0353286816011752"/>
        <n v="0.0139042697182232"/>
        <n v="0.802612481857765"/>
        <n v="0.0351139663821174"/>
        <n v="0.0475372894087348"/>
        <n v="0.0472468001030839"/>
        <n v="0.0989676531314522"/>
        <n v="0.00806775844970382"/>
        <n v="0.0276566044320363"/>
        <n v="0.0637945318972659"/>
        <n v="0.0699001426533524"/>
        <n v="0.0427313904794462"/>
        <n v="0.0307861462341946"/>
        <n v="0.0523168908819133"/>
        <n v="0.958193469636863"/>
        <n v="0.0481878509443594"/>
        <n v="0.0371064837659134"/>
        <n v="0.0257470651013874"/>
        <n v="0.0557189979495409"/>
        <n v="0.00283468043368102"/>
        <n v="0.112634957688941"/>
        <n v="0.0187087307410125"/>
        <n v="0.0396965603242232"/>
        <n v="0.616171954964176"/>
        <n v="0.00976259152429554"/>
        <n v="0.0578127796670843"/>
        <n v="0.242453054433088"/>
        <n v="0.0307335907335907"/>
        <n v="0.0606476938174681"/>
        <n v="0.0782608695652174"/>
        <n v="0.0536604062859333"/>
        <n v="0.0431412200876306"/>
        <n v="0.0223245430445096"/>
        <n v="0.0214277658734634"/>
        <n v="0.392495921696574"/>
        <n v="0.0264994676446232"/>
        <n v="0.0379876796714579"/>
        <n v="0.0278773397052967"/>
        <n v="0.0893271461716937"/>
        <n v="0.0650823656494734"/>
        <n v="0.271910112359551"/>
        <n v="0.0645022575790153"/>
        <n v="0.969868173258004"/>
        <n v="0.135553470919325"/>
        <n v="0.0502765208647562"/>
        <n v="0.0749027237354086"/>
        <n v="0.0173235670270899"/>
        <n v="0.0268834010628321"/>
        <n v="0.0317757009345794"/>
        <n v="0.0472547254725473"/>
        <n v="0.083921568627451"/>
        <n v="0.0379931807111544"/>
        <n v="0.0228928199791883"/>
        <n v="0.110473457675753"/>
        <n v="0.0394736842105263"/>
        <n v="0.0627348944781729"/>
        <n v="0.29277566539924"/>
        <n v="0.0546496253856324"/>
        <n v="0.014105419450631"/>
        <n v="0.0497940846125047"/>
        <n v="0.0328697850821745"/>
        <n v="0.0272671568627451"/>
        <n v="0.0683760683760684"/>
        <n v="0.0309877340219496"/>
        <n v="0.0111925897336936"/>
        <n v="0.00525099768956102"/>
        <n v="0.0752864157119476"/>
        <n v="0.0104901269393512"/>
        <n v="0.0290497291974397"/>
        <n v="0.127118644067797"/>
        <n v="0.0300957592339261"/>
        <n v="0.0675844806007509"/>
        <n v="0.0324074074074074"/>
        <n v="0.654320987654321"/>
        <n v="0.0414462081128748"/>
        <n v="0.384057971014493"/>
        <n v="0.0279583875162549"/>
        <n v="0.0228108903605592"/>
        <n v="0.00280648463036947"/>
        <n v="0.0927021696252466"/>
        <n v="0.00983384198033232"/>
        <n v="0.0350140056022409"/>
        <n v="0.011743450767841"/>
        <n v="0.0167173252279635"/>
        <n v="0.01328125"/>
        <n v="0.0294550810014728"/>
        <n v="0.00725163161711385"/>
        <n v="0.0154028436018957"/>
        <n v="0.016629711751663"/>
        <n v="0.0247116968698517"/>
        <n v="0.0151785714285714"/>
        <n v="0.0213675213675214"/>
        <n v="0.0224719101123596"/>
        <n v="0.00429535692370628"/>
        <n v="0.026246719160105"/>
        <n v="0.0267229254571027"/>
        <n v="0.0455840455840456"/>
        <n v="0.0115384615384615"/>
        <n v="0.0120068610634648"/>
        <n v="0.00642054574638844"/>
        <n v="0.0531914893617021"/>
        <n v="0.0192678227360308"/>
        <n v="0.103092783505155"/>
        <n v="0.014018691588785"/>
        <n v="0.012987012987013"/>
        <n v="0.0160550458715596"/>
        <n v="0.031331592689295"/>
        <n v="0.0465116279069767"/>
        <n v="0.0228310502283105"/>
        <n v="0.0110803324099723"/>
        <n v="0.015625"/>
        <n v="0.0333333333333333"/>
        <n v="0.0167224080267559"/>
        <n v="0.0133779264214047"/>
        <n v="0.0138888888888889"/>
        <n v="0.0625"/>
        <n v="0.00975609756097561"/>
        <n v="0.0833333333333333"/>
        <n v="0.0687022900763359"/>
        <n v="0.038961038961039"/>
        <n v="0.0255102040816327"/>
        <n v="0.0131578947368421"/>
        <n v="0.025"/>
        <n v="0.0280373831775701"/>
        <n v="0.00392156862745098"/>
        <n v="0.00423728813559322"/>
        <n v="0.0125"/>
        <n v="0.0476190476190476"/>
        <n v="0.00257135510413988"/>
        <n v="0.03125"/>
        <n v="0.0324324324324324"/>
        <n v="0.527272727272727"/>
        <n v="0.013986013986014"/>
        <n v="0.00444444444444444"/>
        <n v="0.00966183574879227"/>
        <n v="0.108108108108108"/>
        <n v="0.020979020979021"/>
        <n v="0.0425531914893617"/>
        <n v="0.0238095238095238"/>
        <n v="0.0441176470588235"/>
        <n v="0.103448275862069"/>
        <n v="0.0888888888888889"/>
        <n v="0"/>
        <n v="0.0256410256410256"/>
        <n v="0.0172413793103448"/>
        <n v="0.00467289719626168"/>
        <n v="0.037037037037037"/>
        <n v="0.0444444444444444"/>
        <n v="0.02"/>
        <n v="0.0344827586206897"/>
        <n v="0.0208333333333333"/>
        <n v="0.0188679245283019"/>
        <n v="0.0483870967741936"/>
        <n v="0.0222222222222222"/>
        <n v="0.0053475935828877"/>
        <n v="0.0697674418604651"/>
        <n v="0.0384615384615385"/>
        <n v="0.0638297872340426"/>
        <n v="0.0303030303030303"/>
        <n v="0.027027027027027"/>
        <n v="0.0170454545454545"/>
        <n v="0.0263157894736842"/>
        <n v="0.0117647058823529"/>
        <n v="0.4"/>
        <n v="0.1"/>
        <n v="0.45"/>
        <n v="0.032258064516129"/>
        <n v="0.0555555555555556"/>
        <n v="0.0512820512820513"/>
        <n v="0.0159574468085106"/>
        <n v="0.0294117647058824"/>
        <n v="0.0454545454545455"/>
        <n v="0.0526315789473684"/>
        <n v="0.0285714285714286"/>
        <n v="0.0114942528735632"/>
        <n v="0.310344827586207"/>
        <n v="0.0126582278481013"/>
        <n v="0.0434782608695652"/>
        <n v="0.0571428571428571"/>
        <n v="0.0714285714285714"/>
        <n v="0.583333333333333"/>
        <n v="0.0116279069767442"/>
        <n v="0.0769230769230769"/>
        <n v="0.00343642611683849"/>
        <n v="0.0104166666666667"/>
        <n v="0.0232558139534884"/>
        <n v="0.00113122171945701"/>
        <n v="0.333333333333333"/>
        <n v="0.00925925925925926"/>
        <n v="0.00434782608695652"/>
        <n v="0.5"/>
        <n v="0.05"/>
        <n v="0.25"/>
        <n v="0.00275482093663912"/>
        <n v="1"/>
        <n v="0.00328947368421053"/>
      </sharedItems>
    </cacheField>
    <cacheField name="千次展示价格" numFmtId="2">
      <sharedItems containsSemiMixedTypes="0" containsString="0" containsNumber="1" minValue="0" maxValue="122.463474576271" count="534">
        <n v="2.94916213565117"/>
        <n v="8.84271427719234"/>
        <n v="10.4663929678619"/>
        <n v="2.35379665263187"/>
        <n v="10.1708095332482"/>
        <n v="2.21560092603899"/>
        <n v="8.75375327122004"/>
        <n v="8.14227349672311"/>
        <n v="9.12487000132335"/>
        <n v="9.40415926800226"/>
        <n v="2.99603113290785"/>
        <n v="10.2982798995318"/>
        <n v="11.3569758577967"/>
        <n v="9.41329494084312"/>
        <n v="11.3825219227238"/>
        <n v="10.0778377541998"/>
        <n v="8.93146803036583"/>
        <n v="10.2288269396976"/>
        <n v="12.8037098438281"/>
        <n v="11.9207652892814"/>
        <n v="8.19116295851731"/>
        <n v="10.1758090294136"/>
        <n v="2.45868279273614"/>
        <n v="8.96463064862475"/>
        <n v="8.24663703930733"/>
        <n v="12.3573344815331"/>
        <n v="10.9772914032092"/>
        <n v="12.7025802052844"/>
        <n v="9.06200832578506"/>
        <n v="12.1349845101615"/>
        <n v="13.2557267772782"/>
        <n v="10.0907350374538"/>
        <n v="14.3058117195005"/>
        <n v="12.2629651486318"/>
        <n v="4.95166518998126"/>
        <n v="13.5314424137959"/>
        <n v="9.9400572530348"/>
        <n v="12.9686943398845"/>
        <n v="14.1374260813301"/>
        <n v="4.80514363337048"/>
        <n v="12.6882450463917"/>
        <n v="13.7195242824816"/>
        <n v="6.73498024273927"/>
        <n v="12.1943778194776"/>
        <n v="11.0060676498328"/>
        <n v="5.58810548766127"/>
        <n v="12.1724457624023"/>
        <n v="4.11273961036421"/>
        <n v="4.41479190173996"/>
        <n v="9.64411675798224"/>
        <n v="3.16769101918048"/>
        <n v="11.7353919900037"/>
        <n v="14.8529617576382"/>
        <n v="13.0247619392098"/>
        <n v="10.530393435849"/>
        <n v="10.8236952863702"/>
        <n v="9.44895076741658"/>
        <n v="6.93512061395975"/>
        <n v="6.95967489737243"/>
        <n v="9.44008040630736"/>
        <n v="7.54990569771064"/>
        <n v="6.62360929475696"/>
        <n v="6.92101961734076"/>
        <n v="10.6078459412948"/>
        <n v="13.6809248056695"/>
        <n v="7.85270809724696"/>
        <n v="9.34284505014965"/>
        <n v="7.87008195201905"/>
        <n v="11.8702518122274"/>
        <n v="9.14729227041665"/>
        <n v="12.5990819868342"/>
        <n v="3.18757740613002"/>
        <n v="7.05505257975581"/>
        <n v="10.7402720135027"/>
        <n v="11.874048461474"/>
        <n v="9.11618330947499"/>
        <n v="5.00048859911541"/>
        <n v="12.6463428012115"/>
        <n v="2.74124911555884"/>
        <n v="13.6303032708473"/>
        <n v="15.8471326831153"/>
        <n v="16.0841623701803"/>
        <n v="7.23144380948044"/>
        <n v="13.2693029648125"/>
        <n v="12.5463368957351"/>
        <n v="2.76517135778833"/>
        <n v="7.82021699379835"/>
        <n v="14.5252230908571"/>
        <n v="11.6675155112469"/>
        <n v="7.35278375046234"/>
        <n v="9.04489478178658"/>
        <n v="6.57670557123888"/>
        <n v="11.3681227934045"/>
        <n v="18.9446666443537"/>
        <n v="16.2124787206603"/>
        <n v="19.1346597091531"/>
        <n v="12.0889452541926"/>
        <n v="13.0300309082263"/>
        <n v="14.8612154161133"/>
        <n v="8.44114547646238"/>
        <n v="10.772203427735"/>
        <n v="8.73665160318485"/>
        <n v="8.00024968789014"/>
        <n v="8.24744775506854"/>
        <n v="12.7316813142781"/>
        <n v="15.1179984583762"/>
        <n v="12.2050900091181"/>
        <n v="12.7908112057794"/>
        <n v="10.4083749010741"/>
        <n v="9.86651506037039"/>
        <n v="10.9825629368093"/>
        <n v="10.1291584123307"/>
        <n v="10.2957677966102"/>
        <n v="17.704583246292"/>
        <n v="11.2425346286263"/>
        <n v="12.9460740343009"/>
        <n v="12.4000173457898"/>
        <n v="8.43841574920694"/>
        <n v="11.9973817307099"/>
        <n v="6.85030974934293"/>
        <n v="8.99555576160783"/>
        <n v="3.65193799630568"/>
        <n v="10.3376981121869"/>
        <n v="8.51581455979678"/>
        <n v="12.8580974391849"/>
        <n v="1.26481375625732"/>
        <n v="9.66513019036668"/>
        <n v="20.7269882443843"/>
        <n v="8.78478104020833"/>
        <n v="11.6598754557481"/>
        <n v="8.97280377320922"/>
        <n v="12.3694790879747"/>
        <n v="10.0928307282818"/>
        <n v="12.3736392483165"/>
        <n v="7.60584520634095"/>
        <n v="12.8225050728648"/>
        <n v="13.6227756862745"/>
        <n v="7.2602077533114"/>
        <n v="13.6228779497791"/>
        <n v="12.1197515192923"/>
        <n v="15.0293143037234"/>
        <n v="14.9452203221136"/>
        <n v="25.5747808517252"/>
        <n v="16.7535888537836"/>
        <n v="7.9671074807806"/>
        <n v="22.8242598119684"/>
        <n v="8.82296636263289"/>
        <n v="12.154531237306"/>
        <n v="7.02055438413609"/>
        <n v="7.07066483198146"/>
        <n v="8.71322424061942"/>
        <n v="1.59952326278811"/>
        <n v="15.384812214421"/>
        <n v="15.1409719925019"/>
        <n v="20.8585614008022"/>
        <n v="9.33321792119659"/>
        <n v="13.0712039708543"/>
        <n v="11.903024076473"/>
        <n v="6.41438835746814"/>
        <n v="9.52439791947313"/>
        <n v="15.0001784764494"/>
        <n v="8.29228741524723"/>
        <n v="13.2426627093492"/>
        <n v="10.4195743082509"/>
        <n v="16.4912993848257"/>
        <n v="7.38192062127816"/>
        <n v="8.02448573548257"/>
        <n v="8.20510341170231"/>
        <n v="9.90523374159048"/>
        <n v="12.4827004865249"/>
        <n v="9.53024870423006"/>
        <n v="14.5782584635417"/>
        <n v="5.46791489889592"/>
        <n v="6.77188027409428"/>
        <n v="0.972844592863852"/>
        <n v="14.732608915176"/>
        <n v="9.85730551313002"/>
        <n v="13.1620487030175"/>
        <n v="7.6786424511407"/>
        <n v="9.8417166473464"/>
        <n v="8.64027332329228"/>
        <n v="10.964458964682"/>
        <n v="11.9138001592844"/>
        <n v="10.5324215999567"/>
        <n v="5.82060302734375"/>
        <n v="6.50724162852325"/>
        <n v="13.9636347318824"/>
        <n v="9.74226264653079"/>
        <n v="8.80463866673052"/>
        <n v="14.8550648284917"/>
        <n v="12.4128532983715"/>
        <n v="12.4782865802086"/>
        <n v="11.4234281807527"/>
        <n v="7.6332323943662"/>
        <n v="11.6480347133113"/>
        <n v="7.9583311784263"/>
        <n v="11.6162236158878"/>
        <n v="9.52658822211016"/>
        <n v="12.8640619029423"/>
        <n v="9.95951481042654"/>
        <n v="4.3250151803633"/>
        <n v="14.651432958933"/>
        <n v="11.6870731879455"/>
        <n v="15.9631669602662"/>
        <n v="10.278094337243"/>
        <n v="9.89264980353635"/>
        <n v="8.26099634980207"/>
        <n v="11.9552745233173"/>
        <n v="4.85880194380412"/>
        <n v="5.48717173144876"/>
        <n v="7.23897433469079"/>
        <n v="13.1053717376374"/>
        <n v="12.2146541844887"/>
        <n v="19.0689422346086"/>
        <n v="15.7221699401323"/>
        <n v="37.6747782258065"/>
        <n v="10.5867508792076"/>
        <n v="5.97127874847623"/>
        <n v="11.3675373542987"/>
        <n v="12.0567061094327"/>
        <n v="7.32262065037283"/>
        <n v="15.5833211759505"/>
        <n v="28.0971968922511"/>
        <n v="17.9168144262295"/>
        <n v="18.1602257210534"/>
        <n v="11.8522590866729"/>
        <n v="15.457307364577"/>
        <n v="3.37198268536223"/>
        <n v="15.4093100073403"/>
        <n v="7.85220224577341"/>
        <n v="9.925248"/>
        <n v="54.7020035304501"/>
        <n v="12.2168609153182"/>
        <n v="6.95539220157337"/>
        <n v="9.66190521552751"/>
        <n v="7.27646790641872"/>
        <n v="6.75907477678571"/>
        <n v="16.0659282868526"/>
        <n v="13.5353185470182"/>
        <n v="14.781983840895"/>
        <n v="33.3674683544304"/>
        <n v="15.0978418093534"/>
        <n v="14.217930140706"/>
        <n v="8.13548045252757"/>
        <n v="8.30210943811972"/>
        <n v="13.8168278577581"/>
        <n v="40.6556059506531"/>
        <n v="9.82193258822494"/>
        <n v="11.8379429123297"/>
        <n v="9.41677519113478"/>
        <n v="14.9734094975912"/>
        <n v="2.90721514915972"/>
        <n v="9.44135665677892"/>
        <n v="12.5171132678424"/>
        <n v="10.9806079227477"/>
        <n v="8.49042133151013"/>
        <n v="6.75123488180319"/>
        <n v="10.7815798551225"/>
        <n v="28.4696063472688"/>
        <n v="9.15626544155181"/>
        <n v="8.60644133030692"/>
        <n v="11.5377027748132"/>
        <n v="7.52799055005795"/>
        <n v="0.421288098857599"/>
        <n v="24.3707586810622"/>
        <n v="7.21210840058694"/>
        <n v="8.10276317156812"/>
        <n v="37.390383828045"/>
        <n v="5.38460912654389"/>
        <n v="12.7024449615178"/>
        <n v="16.4070144996435"/>
        <n v="10.2962749034749"/>
        <n v="12.265218842002"/>
        <n v="13.7681258581236"/>
        <n v="11.5000076657723"/>
        <n v="9.6044421975059"/>
        <n v="7.94194921166457"/>
        <n v="6.31315552046916"/>
        <n v="17.7771158238173"/>
        <n v="6.42343783272211"/>
        <n v="9.26017453798768"/>
        <n v="7.0892818266295"/>
        <n v="11.738849187935"/>
        <n v="13.3315176883608"/>
        <n v="51.7874831460674"/>
        <n v="9.56496452375833"/>
        <n v="40.8309698681733"/>
        <n v="20.1832739212008"/>
        <n v="4.26226445449975"/>
        <n v="13.1741763942931"/>
        <n v="4.70952563655389"/>
        <n v="6.12613785557987"/>
        <n v="10.8923956386293"/>
        <n v="15.058595859586"/>
        <n v="13.0034156862745"/>
        <n v="14.7416074037993"/>
        <n v="5.08535900104058"/>
        <n v="20.5845408895265"/>
        <n v="7.18728238866397"/>
        <n v="7.97442324371206"/>
        <n v="102.020608365019"/>
        <n v="11.1156500661084"/>
        <n v="8.77861915367483"/>
        <n v="8.55588543616623"/>
        <n v="9.21973872734935"/>
        <n v="6.53843137254902"/>
        <n v="59.7969515669516"/>
        <n v="12.3206843124597"/>
        <n v="6.99624469316866"/>
        <n v="0.927723167401807"/>
        <n v="3.85554360533084"/>
        <n v="1.28544605077574"/>
        <n v="7.14727720334811"/>
        <n v="122.463474576271"/>
        <n v="9.7316073871409"/>
        <n v="16.4143429286608"/>
        <n v="11.9862314814815"/>
        <n v="77.4661728395062"/>
        <n v="10.8548765432099"/>
        <n v="86.2585507246377"/>
        <n v="7.08713263979194"/>
        <n v="7.07953642384106"/>
        <n v="0.314755175487833"/>
        <n v="9.36986193293886"/>
        <n v="2.91536453034927"/>
        <n v="11.7887675070028"/>
        <n v="5.79153568202349"/>
        <n v="4.81243161094225"/>
        <n v="4.5424921875"/>
        <n v="7.77544918998527"/>
        <n v="3.64520667150109"/>
        <n v="5.75764218009479"/>
        <n v="4.97515521064302"/>
        <n v="7.15339373970346"/>
        <n v="3.58461607142857"/>
        <n v="8.22589743589744"/>
        <n v="8.02465168539326"/>
        <n v="0.233241289970682"/>
        <n v="8.74485564304462"/>
        <n v="4.45942334739803"/>
        <n v="8.72290598290598"/>
        <n v="5.5975"/>
        <n v="4.56744425385935"/>
        <n v="4.23974317817015"/>
        <n v="8.54613475177305"/>
        <n v="4.51539499036609"/>
        <n v="19.0657731958763"/>
        <n v="2.85218068535826"/>
        <n v="3.74504329004329"/>
        <n v="3.95853211009174"/>
        <n v="4.32968668407311"/>
        <n v="8.50988372093023"/>
        <n v="3.28276255707763"/>
        <n v="3.81221606648199"/>
        <n v="5.2011328125"/>
        <n v="2.81439393939394"/>
        <n v="3.08595317725753"/>
        <n v="2.99862876254181"/>
        <n v="6.15680555555556"/>
        <n v="7.78383928571429"/>
        <n v="2.08563414634146"/>
        <n v="11.3701388888889"/>
        <n v="6.11801526717557"/>
        <n v="5.07350649350649"/>
        <n v="3.63862244897959"/>
        <n v="9.04631578947369"/>
        <n v="2.85729166666667"/>
        <n v="5.78177570093458"/>
        <n v="2.23360784313726"/>
        <n v="1.20241525423729"/>
        <n v="6.992"/>
        <n v="23.7761904761905"/>
        <n v="0.0420887974629296"/>
        <n v="7.54765625"/>
        <n v="2.51735135135135"/>
        <n v="8"/>
        <n v="2.80426573426573"/>
        <n v="1.77302222222222"/>
        <n v="1.78072463768116"/>
        <n v="9.89054054054054"/>
        <n v="2.42055944055944"/>
        <n v="3.4686170212766"/>
        <n v="7.75785714285714"/>
        <n v="8.03025"/>
        <n v="4.59808823529412"/>
        <n v="10.3513793103448"/>
        <n v="7.2985"/>
        <n v="5.79133333333333"/>
        <n v="5.74911111111111"/>
        <n v="3.31346153846154"/>
        <n v="4.32620689655172"/>
        <n v="1.1538785046729"/>
        <n v="4.50462962962963"/>
        <n v="6.06125"/>
        <n v="5.38644444444445"/>
        <n v="4.5182"/>
        <n v="11.248"/>
        <n v="3.19042857142857"/>
        <n v="7.34172413793103"/>
        <n v="2.30336956521739"/>
        <n v="6.971"/>
        <n v="4.325625"/>
        <n v="3.91301886792453"/>
        <n v="3.27596774193548"/>
        <n v="4.48977777777778"/>
        <n v="4.46533333333333"/>
        <n v="1.06850267379679"/>
        <n v="4.97875"/>
        <n v="4.61558139534884"/>
        <n v="3.77884615384615"/>
        <n v="4.1763829787234"/>
        <n v="5.88636363636364"/>
        <n v="5.22432432432432"/>
        <n v="4.69375"/>
        <n v="6.35931034482759"/>
        <n v="1.03835227272727"/>
        <n v="4.59052631578947"/>
        <n v="5.96793103448276"/>
        <n v="4.54078947368421"/>
        <n v="3.402"/>
        <n v="1.169375"/>
        <n v="1.96588235294118"/>
        <n v="4.76285714285714"/>
        <n v="6.98608695652174"/>
        <n v="3.48533333333333"/>
        <n v="15.114"/>
        <n v="3.45775"/>
        <n v="4.45290322580645"/>
        <n v="7.59444444444444"/>
        <n v="3.47102564102564"/>
        <n v="3.52921052631579"/>
        <n v="4.03454545454546"/>
        <n v="3.85264705882353"/>
        <n v="6.21380952380952"/>
        <n v="8.065"/>
        <n v="3.04952380952381"/>
        <n v="0.673404255319149"/>
        <n v="3.67294117647059"/>
        <n v="5.66818181818182"/>
        <n v="5.10958333333333"/>
        <n v="3.22631578947368"/>
        <n v="0.922076923076923"/>
        <n v="3.34314285714286"/>
        <n v="1.28908045977011"/>
        <n v="4.23115384615385"/>
        <n v="3.78379310344828"/>
        <n v="3.4078125"/>
        <n v="3.48935483870968"/>
        <n v="1.36594936708861"/>
        <n v="4.44608695652174"/>
        <n v="2.85942857142857"/>
        <n v="3.35862068965517"/>
        <n v="13.7714285714286"/>
        <n v="3.31551724137931"/>
        <n v="6.86285714285714"/>
        <n v="6.72"/>
        <n v="7.76666666666667"/>
        <n v="3.44444444444444"/>
        <n v="3.32814814814815"/>
        <n v="1.00779069767442"/>
        <n v="2.772"/>
        <n v="4.01842105263158"/>
        <n v="6.28666666666667"/>
        <n v="2.59740740740741"/>
        <n v="0.640095238095238"/>
        <n v="4.76"/>
        <n v="5.52833333333333"/>
        <n v="3.22578947368421"/>
        <n v="3.16842105263158"/>
        <n v="2.24115384615385"/>
        <n v="3.10777777777778"/>
        <n v="2.49090909090909"/>
        <n v="4.20461538461538"/>
        <n v="0.77671875"/>
        <n v="2.17227272727273"/>
        <n v="2.87866666666667"/>
        <n v="0.0724742268041237"/>
        <n v="0.606521739130435"/>
        <n v="0.593188405797101"/>
        <n v="3.889"/>
        <n v="1.96105263157895"/>
        <n v="0.623050847457627"/>
        <n v="3.42333333333333"/>
        <n v="9.67666666666667"/>
        <n v="5.732"/>
        <n v="0.285625"/>
        <n v="0.607441860465116"/>
        <n v="5.37"/>
        <n v="0.0676333333333333"/>
        <n v="0.0225678733031674"/>
        <n v="6.49333333333333"/>
        <n v="0.155833333333333"/>
        <n v="4.17"/>
        <n v="0.0677826086956522"/>
        <n v="7.63"/>
        <n v="0.142019230769231"/>
        <n v="4.53666666666667"/>
        <n v="1.08166666666667"/>
        <n v="6.485"/>
        <n v="0.553"/>
        <n v="2.58"/>
        <n v="0.03171875"/>
        <n v="0.959"/>
        <n v="3.19"/>
        <n v="1.29166666666667"/>
        <n v="7.75"/>
        <n v="0.0189417989417989"/>
        <n v="6.75"/>
        <n v="0.233571428571429"/>
        <n v="5.86"/>
        <n v="0.436923076923077"/>
        <n v="5.09"/>
        <n v="0.695714285714286"/>
        <n v="1.56333333333333"/>
        <n v="0.0942222222222222"/>
        <n v="0.0223563218390805"/>
        <n v="3.68"/>
        <n v="0.00988980716253444"/>
        <n v="3.03"/>
        <n v="2.77"/>
        <n v="0.0825"/>
        <n v="2.22"/>
        <n v="1.95"/>
        <n v="1.56"/>
        <n v="0.146"/>
        <n v="1.36"/>
        <n v="0.123"/>
        <n v="0.00358024691358025"/>
        <n v="0.455"/>
        <n v="0.66"/>
        <n v="0.34"/>
        <n v="0.15"/>
        <n v="0.000361842105263158"/>
        <n v="0"/>
      </sharedItems>
    </cacheField>
    <cacheField name="单次点击价格" numFmtId="2">
      <sharedItems containsSemiMixedTypes="0" containsString="0" containsNumber="1" minValue="0" maxValue="1.56674274336283" count="469">
        <n v="0.0648393005041155"/>
        <n v="0.525417127264544"/>
        <n v="0.370623166871432"/>
        <n v="0.0828053738516761"/>
        <n v="0.888776224512168"/>
        <n v="0.0772163686500515"/>
        <n v="0.585255422194475"/>
        <n v="0.29100737168361"/>
        <n v="0.75569067099083"/>
        <n v="0.368644583528311"/>
        <n v="0.0627099804431407"/>
        <n v="0.776617007153076"/>
        <n v="0.273291633540373"/>
        <n v="0.357702628767123"/>
        <n v="0.679428369075986"/>
        <n v="0.517024245360825"/>
        <n v="0.221140539016272"/>
        <n v="0.641282695815451"/>
        <n v="0.74545684160607"/>
        <n v="0.410030599126638"/>
        <n v="0.292201236141201"/>
        <n v="0.640250749440716"/>
        <n v="0.0579736467171138"/>
        <n v="0.450250529341792"/>
        <n v="0.481808582391814"/>
        <n v="0.511680935023772"/>
        <n v="0.344697466007417"/>
        <n v="0.384386831837017"/>
        <n v="0.30575919239905"/>
        <n v="0.504137832241153"/>
        <n v="0.319903658997253"/>
        <n v="0.237883985433171"/>
        <n v="0.322869376693767"/>
        <n v="0.557292997190134"/>
        <n v="0.188648640051931"/>
        <n v="0.376337179659498"/>
        <n v="0.780870618238022"/>
        <n v="0.353156476145489"/>
        <n v="0.415822955594002"/>
        <n v="0.144086883706844"/>
        <n v="0.337567621241513"/>
        <n v="0.349840704960836"/>
        <n v="0.130763277483833"/>
        <n v="0.339588801794669"/>
        <n v="0.228730874910905"/>
        <n v="0.127879993013275"/>
        <n v="0.278990096937651"/>
        <n v="0.0718027689243028"/>
        <n v="0.0508656117252515"/>
        <n v="0.362701615693543"/>
        <n v="0.057574468356367"/>
        <n v="0.211995209184666"/>
        <n v="0.417470837514473"/>
        <n v="0.525942930866602"/>
        <n v="0.930731113043478"/>
        <n v="0.289858258692629"/>
        <n v="0.549355013390466"/>
        <n v="0.640067216233355"/>
        <n v="0.631330843793584"/>
        <n v="0.409033181201988"/>
        <n v="0.245463906378319"/>
        <n v="0.426611389423077"/>
        <n v="0.12562160947249"/>
        <n v="0.252246628242075"/>
        <n v="0.265527763320942"/>
        <n v="0.261286669835234"/>
        <n v="0.327928616680032"/>
        <n v="0.139298140217579"/>
        <n v="0.21916335016835"/>
        <n v="0.398224105480869"/>
        <n v="0.331469775078722"/>
        <n v="0.0973827077534791"/>
        <n v="0.868498351515151"/>
        <n v="0.190814519410977"/>
        <n v="0.606257602739726"/>
        <n v="0.278847325443787"/>
        <n v="0.153189710589783"/>
        <n v="0.16722201953602"/>
        <n v="0.299078305235138"/>
        <n v="0.305646020082154"/>
        <n v="0.295418510351035"/>
        <n v="0.263648883946624"/>
        <n v="0.749986953955136"/>
        <n v="0.188832997909824"/>
        <n v="0.183100723206506"/>
        <n v="0.621444721115538"/>
        <n v="0.70948964037123"/>
        <n v="0.436547464183381"/>
        <n v="0.304308211422846"/>
        <n v="0.149996048792757"/>
        <n v="0.228572682080925"/>
        <n v="0.165147360605212"/>
        <n v="0.275907123352166"/>
        <n v="0.56887311557789"/>
        <n v="0.318705363380282"/>
        <n v="0.371321666666667"/>
        <n v="0.443417061191626"/>
        <n v="0.377440151515152"/>
        <n v="0.0900794516183129"/>
        <n v="0.25660431051109"/>
        <n v="0.229771192541197"/>
        <n v="0.202840069177556"/>
        <n v="0.143150634307777"/>
        <n v="0.12767300635324"/>
        <n v="0.398170835421888"/>
        <n v="0.284076041038021"/>
        <n v="0.198345630821338"/>
        <n v="0.415294852282901"/>
        <n v="0.466846227180527"/>
        <n v="0.223043618261292"/>
        <n v="0.191055936053849"/>
        <n v="0.142255488047809"/>
        <n v="0.204332152811149"/>
        <n v="0.239954246885617"/>
        <n v="0.222646157505285"/>
        <n v="0.304521285289747"/>
        <n v="0.231521005681818"/>
        <n v="0.156175452801228"/>
        <n v="0.302509409020218"/>
        <n v="0.0912050046970409"/>
        <n v="0.190411815505397"/>
        <n v="0.0776413846153846"/>
        <n v="0.160195326906957"/>
        <n v="0.226266554174068"/>
        <n v="0.224177147058824"/>
        <n v="0.114612614082804"/>
        <n v="0.209786394897393"/>
        <n v="0.341411181818182"/>
        <n v="0.662530774774775"/>
        <n v="0.213704624482555"/>
        <n v="0.37828888772298"/>
        <n v="0.1932532027897"/>
        <n v="0.309946443478261"/>
        <n v="0.264471386586285"/>
        <n v="0.165359896275342"/>
        <n v="0.158266848816029"/>
        <n v="0.179803716356108"/>
        <n v="0.236903626978665"/>
        <n v="0.230680121293801"/>
        <n v="0.170307311773623"/>
        <n v="0.2123512086514"/>
        <n v="0.607259466911765"/>
        <n v="0.397939879081016"/>
        <n v="0.202543231058234"/>
        <n v="0.249296137239784"/>
        <n v="0.0624904453524004"/>
        <n v="0.101010788160958"/>
        <n v="0.561388836772983"/>
        <n v="0.451723445121951"/>
        <n v="0.135536890328552"/>
        <n v="0.343012977725674"/>
        <n v="0.272393521400778"/>
        <n v="0.198344712643678"/>
        <n v="0.222190088996764"/>
        <n v="0.0731431944820124"/>
        <n v="0.237290492957747"/>
        <n v="0.304433997722096"/>
        <n v="0.333508135168961"/>
        <n v="0.202292066869301"/>
        <n v="0.808031777777778"/>
        <n v="0.249820885826772"/>
        <n v="0.136111460369164"/>
        <n v="0.250614403209629"/>
        <n v="0.481047052023121"/>
        <n v="0.280543848837209"/>
        <n v="0.880909194139194"/>
        <n v="0.529973496659243"/>
        <n v="0.207400670241287"/>
        <n v="0.293336602809706"/>
        <n v="0.536023568075117"/>
        <n v="0.475995135699374"/>
        <n v="0.191059769624573"/>
        <n v="0.24514383759733"/>
        <n v="0.334581833855799"/>
        <n v="0.306103373134328"/>
        <n v="0.372045336976321"/>
        <n v="0.390007270955166"/>
        <n v="0.277800111731844"/>
        <n v="0.320705056910569"/>
        <n v="0.507193506493507"/>
        <n v="0.108721031215162"/>
        <n v="0.337351889081456"/>
        <n v="0.323575640599002"/>
        <n v="0.286814306784661"/>
        <n v="0.104166859639541"/>
        <n v="0.318318047138047"/>
        <n v="0.431195750577367"/>
        <n v="0.242761802631579"/>
        <n v="0.246778067114094"/>
        <n v="0.0783313803548248"/>
        <n v="0.270100705705706"/>
        <n v="1.56674274336283"/>
        <n v="0.159058032638259"/>
        <n v="0.123523532763533"/>
        <n v="0.173513531187123"/>
        <n v="0.210434212454212"/>
        <n v="0.230907479892761"/>
        <n v="0.199555187793427"/>
        <n v="0.508538519637462"/>
        <n v="0.284461269035533"/>
        <n v="0.326400077669903"/>
        <n v="0.255693307810107"/>
        <n v="0.274162483443709"/>
        <n v="0.298739267399267"/>
        <n v="0.164138992950655"/>
        <n v="0.221334450549451"/>
        <n v="0.355496991150443"/>
        <n v="0.294573452830189"/>
        <n v="0.206046578599736"/>
        <n v="0.359460555555556"/>
        <n v="0.335983868131868"/>
        <n v="0.274059910233393"/>
        <n v="0.177019625730994"/>
        <n v="0.0676540359550562"/>
        <n v="0.299981523046092"/>
        <n v="0.0929686069651741"/>
        <n v="0.206879663394109"/>
        <n v="0.318080454545455"/>
        <n v="0.235894853896104"/>
        <n v="0.187311225554107"/>
        <n v="0.147768495297806"/>
        <n v="0.184070352480418"/>
        <n v="0.119706785714286"/>
        <n v="0.208573603053435"/>
        <n v="0.178542383561644"/>
        <n v="0.276466826086957"/>
        <n v="0.165125851755527"/>
        <n v="0.239125009416196"/>
        <n v="0.554870925110132"/>
        <n v="0.378337720364742"/>
        <n v="0.300400968523002"/>
        <n v="0.0629211878172589"/>
        <n v="0.624672284263959"/>
        <n v="0.510508326359833"/>
        <n v="0.230513295454545"/>
        <n v="0.215450657193606"/>
        <n v="0.165921397260274"/>
        <n v="0.313410466321244"/>
        <n v="0.349741549707602"/>
        <n v="0.193682508143322"/>
        <n v="0.0481613276492083"/>
        <n v="0.686951802325581"/>
        <n v="0.249336948051948"/>
        <n v="0.2176630651341"/>
        <n v="0.234996299376299"/>
        <n v="0.993711150442478"/>
        <n v="0.0506540913200723"/>
        <n v="0.279715839598998"/>
        <n v="0.249024356659142"/>
        <n v="0.199310327272727"/>
        <n v="0.151295994436718"/>
        <n v="0.360349800664452"/>
        <n v="0.341378012618297"/>
        <n v="0.196209814471243"/>
        <n v="0.157089921507064"/>
        <n v="0.19869284"/>
        <n v="0.219294575892857"/>
        <n v="0.206082197802198"/>
        <n v="0.0297117515923567"/>
        <n v="0.190011906779661"/>
        <n v="0.231939015957447"/>
        <n v="0.448117202072539"/>
        <n v="0.135106352"/>
        <n v="0.148619256637168"/>
        <n v="0.216369404145078"/>
        <n v="0.385494264705882"/>
        <n v="0.204117513089005"/>
        <n v="0.0606817358803987"/>
        <n v="0.551555303030303"/>
        <n v="0.219716904024768"/>
        <n v="0.0676708921568627"/>
        <n v="0.335016984924623"/>
        <n v="0.202237184466019"/>
        <n v="0.175926052631579"/>
        <n v="0.214310857142857"/>
        <n v="0.22262796875"/>
        <n v="0.3557496875"/>
        <n v="0.294625"/>
        <n v="0.0452924854530341"/>
        <n v="0.24239875"/>
        <n v="0.243767837837838"/>
        <n v="0.254302666666667"/>
        <n v="0.13141412987013"/>
        <n v="0.204840705394191"/>
        <n v="0.190458099173554"/>
        <n v="0.148288833333333"/>
        <n v="0.0420995048543689"/>
        <n v="0.148895294117647"/>
        <n v="0.08477644"/>
        <n v="0.17588380952381"/>
        <n v="0.271856577181208"/>
        <n v="0.227878081395349"/>
        <n v="0.342790098039216"/>
        <n v="0.318668571428571"/>
        <n v="0.154947242990654"/>
        <n v="0.388006666666667"/>
        <n v="0.222137727272727"/>
        <n v="0.186330194805195"/>
        <n v="0.182077820512821"/>
        <n v="0.127113041474654"/>
        <n v="0.34846"/>
        <n v="0.203398467741936"/>
        <n v="0.622357894736842"/>
        <n v="0.171825338345865"/>
        <n v="0.280492820512821"/>
        <n v="0.239791460674157"/>
        <n v="0.874530416666667"/>
        <n v="0.39759875"/>
        <n v="0.625078275862069"/>
        <n v="0.1766756"/>
        <n v="0.0512116770186335"/>
        <n v="0.122538655462185"/>
        <n v="0.24603593220339"/>
        <n v="0.963379333333333"/>
        <n v="0.323354772727273"/>
        <n v="0.242871481481481"/>
        <n v="0.369860857142857"/>
        <n v="0.118391698113208"/>
        <n v="0.261902765957447"/>
        <n v="0.224597735849057"/>
        <n v="0.253488604651163"/>
        <n v="0.310357741935484"/>
        <n v="0.112152823529412"/>
        <n v="0.101074893617021"/>
        <n v="0.296462413793103"/>
        <n v="0.3366872"/>
        <n v="0.493171538461538"/>
        <n v="0.287870909090909"/>
        <n v="0.342022941176471"/>
        <n v="0.2639765"/>
        <n v="0.502674"/>
        <n v="0.373803846153846"/>
        <n v="0.299172666666667"/>
        <n v="0.289474"/>
        <n v="0.236162941176471"/>
        <n v="0.384972"/>
        <n v="0.357097"/>
        <n v="0.0543007936507937"/>
        <n v="0.333179"/>
        <n v="0.166876315789474"/>
        <n v="0.19135875"/>
        <n v="0.485116666666667"/>
        <n v="0.380402857142857"/>
        <n v="0.66034"/>
        <n v="0.160667333333333"/>
        <n v="0.234349"/>
        <n v="0.184938"/>
        <n v="0.203455555555556"/>
        <n v="0.288368333333333"/>
        <n v="0.24656"/>
        <n v="0.138189166666667"/>
        <n v="0.1829625"/>
        <n v="0.143785"/>
        <n v="0.3440525"/>
        <n v="0.3328725"/>
        <n v="0.0844318181818182"/>
        <n v="0.18454"/>
        <n v="0.2241475"/>
        <n v="0.44329"/>
        <n v="0.124541428571429"/>
        <n v="0.2137775"/>
        <n v="0.136441666666667"/>
        <n v="0.0890511111111111"/>
        <n v="0.13022"/>
        <n v="0.142634"/>
        <n v="0.68752"/>
        <n v="0.114291666666667"/>
        <n v="0.206216666666667"/>
        <n v="0.56957"/>
        <n v="0.28377"/>
        <n v="0.55936"/>
        <n v="0.4993"/>
        <n v="0.0163683333333333"/>
        <n v="0.241525"/>
        <n v="0.0776183333333333"/>
        <n v="0.0151724137931034"/>
        <n v="0.200505"/>
        <n v="0.39893"/>
        <n v="0.184305"/>
        <n v="0.0914875"/>
        <n v="0.11538"/>
        <n v="0.0815125"/>
        <n v="0.32583"/>
        <n v="0.32121"/>
        <n v="0.104223333333333"/>
        <n v="0.100063333333333"/>
        <n v="0.29194"/>
        <n v="0.0651525"/>
        <n v="0"/>
        <n v="0.129225"/>
        <n v="0.25092"/>
        <n v="0.24693"/>
        <n v="0.121625"/>
        <n v="0.24245"/>
        <n v="0.121195"/>
        <n v="0.22591"/>
        <n v="0.21291"/>
        <n v="0.20913"/>
        <n v="0.20763"/>
        <n v="0.20739"/>
        <n v="0.0677033333333333"/>
        <n v="0.20204"/>
        <n v="0.10047"/>
        <n v="0.19981"/>
        <n v="0.0661566666666667"/>
        <n v="0.09825"/>
        <n v="0.06543"/>
        <n v="0.19425"/>
        <n v="0.1933"/>
        <n v="0.18775"/>
        <n v="0.18442"/>
        <n v="0.0609166666666667"/>
        <n v="0.17444"/>
        <n v="0.17307"/>
        <n v="0.1701"/>
        <n v="0.084195"/>
        <n v="0.1671"/>
        <n v="0.0119071428571429"/>
        <n v="0.15114"/>
        <n v="0.00768388888888889"/>
        <n v="0.13804"/>
        <n v="0.1367"/>
        <n v="0.067685"/>
        <n v="0.13314"/>
        <n v="0.13049"/>
        <n v="0.12904"/>
        <n v="0.12808"/>
        <n v="0.0422"/>
        <n v="0.12488"/>
        <n v="0.1247"/>
        <n v="0.0613"/>
        <n v="0.11701"/>
        <n v="0.11215"/>
        <n v="0.11001"/>
        <n v="0.0121922222222222"/>
        <n v="0.10905"/>
        <n v="0.10791"/>
        <n v="0.10226"/>
        <n v="0.05004"/>
        <n v="0.09608"/>
        <n v="0.0133142857142857"/>
        <n v="0.093"/>
        <n v="0.08986"/>
        <n v="0.08667"/>
        <n v="0.08316"/>
        <n v="0.07544"/>
        <n v="0.07013"/>
        <n v="0.06634"/>
        <n v="0.06129"/>
        <n v="0.0602"/>
        <n v="0.05466"/>
        <n v="0.04971"/>
        <n v="0.04779"/>
        <n v="0.02109"/>
        <n v="0.02742"/>
        <n v="0.02612"/>
        <n v="0.01995"/>
        <n v="0.01948"/>
        <n v="0.01683"/>
        <n v="0.01559"/>
        <n v="0.01361"/>
        <n v="0.01297"/>
        <n v="0.01106"/>
        <n v="0.01032"/>
        <n v="0.00959"/>
        <n v="0.00424"/>
        <n v="0.00359"/>
        <n v="0.00195"/>
        <n v="0.00011"/>
      </sharedItems>
    </cacheField>
    <cacheField name="应用内累计付费金额" numFmtId="4">
      <sharedItems containsSemiMixedTypes="0" containsString="0" containsNumber="1" minValue="0" maxValue="910.97" count="16">
        <n v="0"/>
        <n v="910.97"/>
        <n v="319.83"/>
        <n v="294.51"/>
        <n v="234.88"/>
        <n v="146.63"/>
        <n v="68.23"/>
        <n v="96.04"/>
        <n v="61.9"/>
        <n v="58.83"/>
        <n v="36.22"/>
        <n v="11.63"/>
        <n v="0.73"/>
        <n v="13.17"/>
        <n v="4.39"/>
        <n v="6.59"/>
      </sharedItems>
    </cacheField>
    <cacheField name="激活后24小时付费金额" numFmtId="4">
      <sharedItems containsSemiMixedTypes="0" containsString="0" containsNumber="1" minValue="0" maxValue="910.97" count="16">
        <n v="0"/>
        <n v="910.97"/>
        <n v="319.83"/>
        <n v="294.51"/>
        <n v="234.88"/>
        <n v="146.63"/>
        <n v="68.23"/>
        <n v="96.04"/>
        <n v="61.9"/>
        <n v="58.83"/>
        <n v="36.22"/>
        <n v="11.63"/>
        <n v="0.73"/>
        <n v="13.17"/>
        <n v="4.39"/>
        <n v="6.59"/>
      </sharedItems>
    </cacheField>
    <cacheField name="激活后24小时变现金额" numFmtId="4">
      <sharedItems containsSemiMixedTypes="0" containsString="0" containsNumber="1" minValue="0" maxValue="11520.18" count="385">
        <n v="11520.18"/>
        <n v="9598.36"/>
        <n v="5338.46"/>
        <n v="4286.88"/>
        <n v="4075.7"/>
        <n v="4111.24"/>
        <n v="3843.75"/>
        <n v="2406.2"/>
        <n v="3523.38"/>
        <n v="3216.64"/>
        <n v="2876.44"/>
        <n v="2891"/>
        <n v="2754.66"/>
        <n v="2762.13"/>
        <n v="2621.4"/>
        <n v="2590.58"/>
        <n v="2539.67"/>
        <n v="2538.43"/>
        <n v="2383.08"/>
        <n v="2539.69"/>
        <n v="2495.13"/>
        <n v="2286.42"/>
        <n v="2373.79"/>
        <n v="2419.01"/>
        <n v="2412.67"/>
        <n v="2354.99"/>
        <n v="2274.31"/>
        <n v="1951.2"/>
        <n v="1854.84"/>
        <n v="2026.74"/>
        <n v="2015.32"/>
        <n v="1912.91"/>
        <n v="1925.82"/>
        <n v="1847.41"/>
        <n v="1887.34"/>
        <n v="1761.49"/>
        <n v="1557.43"/>
        <n v="1615.75"/>
        <n v="1567.76"/>
        <n v="1459.2"/>
        <n v="1417.87"/>
        <n v="1235.47"/>
        <n v="998.33"/>
        <n v="1287.23"/>
        <n v="1369.91"/>
        <n v="1385.58"/>
        <n v="1357.22"/>
        <n v="1371.34"/>
        <n v="1327.25"/>
        <n v="1259.09"/>
        <n v="1022.9"/>
        <n v="1140.29"/>
        <n v="1164.32"/>
        <n v="1090.72"/>
        <n v="1058.16"/>
        <n v="1115.29"/>
        <n v="1025.89"/>
        <n v="1042.98"/>
        <n v="931.15"/>
        <n v="1017.33"/>
        <n v="944.68"/>
        <n v="942.76"/>
        <n v="934.88"/>
        <n v="951.59"/>
        <n v="898.67"/>
        <n v="884.91"/>
        <n v="831.77"/>
        <n v="543.09"/>
        <n v="799.92"/>
        <n v="755.99"/>
        <n v="755.9"/>
        <n v="750.84"/>
        <n v="730.95"/>
        <n v="764.96"/>
        <n v="742.77"/>
        <n v="740.86"/>
        <n v="739.38"/>
        <n v="718.72"/>
        <n v="667.75"/>
        <n v="676.86"/>
        <n v="686.96"/>
        <n v="679.41"/>
        <n v="628.76"/>
        <n v="692.64"/>
        <n v="662.02"/>
        <n v="629.04"/>
        <n v="679.1"/>
        <n v="635.23"/>
        <n v="666.66"/>
        <n v="624.72"/>
        <n v="594.54"/>
        <n v="650.87"/>
        <n v="623.88"/>
        <n v="611.32"/>
        <n v="549.74"/>
        <n v="579.97"/>
        <n v="560.5"/>
        <n v="542.2"/>
        <n v="366.76"/>
        <n v="569.39"/>
        <n v="558.43"/>
        <n v="622.65"/>
        <n v="551.6"/>
        <n v="394.89"/>
        <n v="486.17"/>
        <n v="506.76"/>
        <n v="484.9"/>
        <n v="477.92"/>
        <n v="461.25"/>
        <n v="456.31"/>
        <n v="478.68"/>
        <n v="466.79"/>
        <n v="417.03"/>
        <n v="432.54"/>
        <n v="441.53"/>
        <n v="396.21"/>
        <n v="408.23"/>
        <n v="430.57"/>
        <n v="379.57"/>
        <n v="256.33"/>
        <n v="424.08"/>
        <n v="315.83"/>
        <n v="402.6"/>
        <n v="389.45"/>
        <n v="396.11"/>
        <n v="414.03"/>
        <n v="410.41"/>
        <n v="357.46"/>
        <n v="404.88"/>
        <n v="385.38"/>
        <n v="395.42"/>
        <n v="354.01"/>
        <n v="401.62"/>
        <n v="364.85"/>
        <n v="371.59"/>
        <n v="400.88"/>
        <n v="370.16"/>
        <n v="350.46"/>
        <n v="354.43"/>
        <n v="252.59"/>
        <n v="380.7"/>
        <n v="344.75"/>
        <n v="322.14"/>
        <n v="342.68"/>
        <n v="363.65"/>
        <n v="233.7"/>
        <n v="309.23"/>
        <n v="291.24"/>
        <n v="276.86"/>
        <n v="313.42"/>
        <n v="285.9"/>
        <n v="279.95"/>
        <n v="293.76"/>
        <n v="298.46"/>
        <n v="164.41"/>
        <n v="266.05"/>
        <n v="260.94"/>
        <n v="252.03"/>
        <n v="284.13"/>
        <n v="259.53"/>
        <n v="269.87"/>
        <n v="259.95"/>
        <n v="261.03"/>
        <n v="236.14"/>
        <n v="249.29"/>
        <n v="237.63"/>
        <n v="237.1"/>
        <n v="228.49"/>
        <n v="235.34"/>
        <n v="211.34"/>
        <n v="217.86"/>
        <n v="255.36"/>
        <n v="219.55"/>
        <n v="210.14"/>
        <n v="212.98"/>
        <n v="192.53"/>
        <n v="180.53"/>
        <n v="202.74"/>
        <n v="204.8"/>
        <n v="185.11"/>
        <n v="198.88"/>
        <n v="178.86"/>
        <n v="205.59"/>
        <n v="199.66"/>
        <n v="146.42"/>
        <n v="204.87"/>
        <n v="178.59"/>
        <n v="179.56"/>
        <n v="187.3"/>
        <n v="130.21"/>
        <n v="194.71"/>
        <n v="157.65"/>
        <n v="174.06"/>
        <n v="184.64"/>
        <n v="178.26"/>
        <n v="181.45"/>
        <n v="183.63"/>
        <n v="183.4"/>
        <n v="157"/>
        <n v="165.49"/>
        <n v="172.29"/>
        <n v="160.21"/>
        <n v="171.21"/>
        <n v="152.19"/>
        <n v="170.32"/>
        <n v="199.34"/>
        <n v="165.53"/>
        <n v="167.24"/>
        <n v="138.28"/>
        <n v="153.36"/>
        <n v="167.95"/>
        <n v="149.92"/>
        <n v="165.09"/>
        <n v="116.38"/>
        <n v="181.7"/>
        <n v="114.1"/>
        <n v="157.49"/>
        <n v="125.93"/>
        <n v="165.17"/>
        <n v="149.5"/>
        <n v="142.14"/>
        <n v="151.75"/>
        <n v="138.42"/>
        <n v="142.77"/>
        <n v="135.64"/>
        <n v="134.59"/>
        <n v="125.85"/>
        <n v="128.38"/>
        <n v="128.81"/>
        <n v="127.04"/>
        <n v="139.81"/>
        <n v="91.23"/>
        <n v="109.16"/>
        <n v="149.17"/>
        <n v="126.4"/>
        <n v="115.26"/>
        <n v="94.92"/>
        <n v="122.68"/>
        <n v="113.6"/>
        <n v="121.08"/>
        <n v="85.54"/>
        <n v="123.76"/>
        <n v="117.9"/>
        <n v="113.82"/>
        <n v="111.54"/>
        <n v="111.35"/>
        <n v="81.8"/>
        <n v="113.66"/>
        <n v="126.69"/>
        <n v="103.01"/>
        <n v="121.99"/>
        <n v="91.24"/>
        <n v="97.17"/>
        <n v="108.53"/>
        <n v="108.89"/>
        <n v="109.89"/>
        <n v="139.15"/>
        <n v="94.61"/>
        <n v="53.88"/>
        <n v="102.08"/>
        <n v="87.7"/>
        <n v="91.84"/>
        <n v="83.43"/>
        <n v="91.48"/>
        <n v="91.04"/>
        <n v="78.91"/>
        <n v="78.39"/>
        <n v="47.84"/>
        <n v="66.72"/>
        <n v="72.99"/>
        <n v="52.54"/>
        <n v="58.4"/>
        <n v="64.2"/>
        <n v="88.86"/>
        <n v="34.18"/>
        <n v="180.05"/>
        <n v="61.25"/>
        <n v="60.92"/>
        <n v="43.68"/>
        <n v="44.66"/>
        <n v="56.17"/>
        <n v="55.48"/>
        <n v="53.02"/>
        <n v="49.22"/>
        <n v="38.1"/>
        <n v="43.65"/>
        <n v="21.94"/>
        <n v="29.41"/>
        <n v="37.42"/>
        <n v="39.14"/>
        <n v="40.08"/>
        <n v="42.12"/>
        <n v="30.5"/>
        <n v="26.13"/>
        <n v="35.93"/>
        <n v="29.88"/>
        <n v="24.17"/>
        <n v="15.03"/>
        <n v="25.61"/>
        <n v="26.79"/>
        <n v="17.21"/>
        <n v="25.08"/>
        <n v="15.32"/>
        <n v="21.38"/>
        <n v="16.76"/>
        <n v="19.38"/>
        <n v="4.05"/>
        <n v="14.7"/>
        <n v="15.49"/>
        <n v="15.53"/>
        <n v="12.5"/>
        <n v="11.29"/>
        <n v="12.67"/>
        <n v="6"/>
        <n v="13.08"/>
        <n v="12.11"/>
        <n v="11.88"/>
        <n v="6.33"/>
        <n v="10.46"/>
        <n v="8.51"/>
        <n v="11.49"/>
        <n v="5.03"/>
        <n v="16.79"/>
        <n v="8.96"/>
        <n v="4.59"/>
        <n v="7.45"/>
        <n v="7.05"/>
        <n v="6.67"/>
        <n v="4.56"/>
        <n v="3.11"/>
        <n v="2.85"/>
        <n v="4.32"/>
        <n v="4.29"/>
        <n v="5.36"/>
        <n v="2.72"/>
        <n v="2.97"/>
        <n v="1.5"/>
        <n v="5.63"/>
        <n v="3.26"/>
        <n v="4.87"/>
        <n v="2.53"/>
        <n v="2.02"/>
        <n v="0.2"/>
        <n v="2.81"/>
        <n v="2.56"/>
        <n v="0.23"/>
        <n v="3.43"/>
        <n v="0.54"/>
        <n v="0.79"/>
        <n v="1.1"/>
        <n v="0.01"/>
        <n v="0.16"/>
        <n v="0.12"/>
        <n v="0.56"/>
        <n v="6.3"/>
        <n v="0"/>
        <n v="0.27"/>
        <n v="0.45"/>
        <n v="5.56"/>
        <n v="1.14"/>
        <n v="2.3"/>
        <n v="0.11"/>
        <n v="1.84"/>
        <n v="0.19"/>
        <n v="0.48"/>
        <n v="0.31"/>
        <n v="0.3"/>
        <n v="0.34"/>
        <n v="0.04"/>
        <n v="0.75"/>
        <n v="0.24"/>
        <n v="0.4"/>
        <n v="0.1"/>
        <n v="0.9"/>
        <n v="0.17"/>
        <n v="0.63"/>
        <n v="0.09"/>
        <n v="0.26"/>
        <n v="0.03"/>
        <n v="1.08"/>
        <n v="0.92"/>
        <n v="0.18"/>
        <n v="0.15"/>
        <n v="0.06"/>
        <n v="0.13"/>
      </sharedItems>
    </cacheField>
    <cacheField name="激活后24小时变现ROI" numFmtId="2">
      <sharedItems containsSemiMixedTypes="0" containsString="0" containsNumber="1" minValue="0" maxValue="8.33867864015395" count="398">
        <n v="1.01206344969404"/>
        <n v="1.02779768066139"/>
        <n v="1.04097785174865"/>
        <n v="1.04987838519306"/>
        <n v="1.00542506713532"/>
        <n v="1.01605120134492"/>
        <n v="1.02507339798883"/>
        <n v="0.683405162590061"/>
        <n v="1.04282336703223"/>
        <n v="1.02077514668422"/>
        <n v="1.0193776192221"/>
        <n v="1.06510890246684"/>
        <n v="1.04343293275791"/>
        <n v="1.0577891862491"/>
        <n v="1.021510026329"/>
        <n v="1.0331047547157"/>
        <n v="1.06179883976045"/>
        <n v="1.06179277751774"/>
        <n v="1.01068757108372"/>
        <n v="1.08190455723066"/>
        <n v="1.08819688019088"/>
        <n v="0.998638728950173"/>
        <n v="1.04323723688264"/>
        <n v="1.06514406969488"/>
        <n v="1.06747560617347"/>
        <n v="1.04198731602701"/>
        <n v="1.01946674006066"/>
        <n v="0.876404770238106"/>
        <n v="0.960624315690347"/>
        <n v="1.05379032507092"/>
        <n v="1.08169155988009"/>
        <n v="1.02751811700922"/>
        <n v="1.07763381870558"/>
        <n v="1.03495809464809"/>
        <n v="1.08238935531829"/>
        <n v="1.04852519406651"/>
        <n v="1.02755225978069"/>
        <n v="1.08057803712215"/>
        <n v="1.08715640745789"/>
        <n v="1.02233222102158"/>
        <n v="1.01849047926145"/>
        <n v="0.922068298298241"/>
        <n v="0.7480536746064"/>
        <n v="1.00041037475057"/>
        <n v="1.06720925383874"/>
        <n v="1.08144546920218"/>
        <n v="1.07176921955274"/>
        <n v="1.08700662303257"/>
        <n v="1.08033234954513"/>
        <n v="1.07241921067871"/>
        <n v="0.906040885216737"/>
        <n v="1.04667210883415"/>
        <n v="1.07641267098355"/>
        <n v="1.00965782437882"/>
        <n v="0.98861971791825"/>
        <n v="1.07029435441104"/>
        <n v="1.0002380841394"/>
        <n v="1.03328161872663"/>
        <n v="1.02852177082299"/>
        <n v="1.12388505919136"/>
        <n v="1.05353121373949"/>
        <n v="1.06244233332108"/>
        <n v="1.0553079553037"/>
        <n v="1.08716390504787"/>
        <n v="1.04847186453688"/>
        <n v="1.07311151394411"/>
        <n v="1.01701529919822"/>
        <n v="0.673244668770354"/>
        <n v="1.02409661228503"/>
        <n v="0.981594317750594"/>
        <n v="1.02584311744156"/>
        <n v="1.0218950862272"/>
        <n v="1.02015161969429"/>
        <n v="1.07333848721769"/>
        <n v="1.04894885656567"/>
        <n v="1.0480734036739"/>
        <n v="1.05822503324647"/>
        <n v="1.04957229914207"/>
        <n v="0.990546970320676"/>
        <n v="1.01073598247424"/>
        <n v="1.04652520224363"/>
        <n v="1.04203397989971"/>
        <n v="0.989800767097169"/>
        <n v="1.09525320543488"/>
        <n v="1.0501323261589"/>
        <n v="1.00818921338194"/>
        <n v="1.11040243675697"/>
        <n v="1.04235129957773"/>
        <n v="1.09756484858006"/>
        <n v="1.04751250238332"/>
        <n v="1.00234999433782"/>
        <n v="1.10427202291617"/>
        <n v="1.06459307752054"/>
        <n v="1.08001581191768"/>
        <n v="0.971783696300042"/>
        <n v="1.0371230021586"/>
        <n v="1.01775119692897"/>
        <n v="0.989338247302083"/>
        <n v="0.682796711949205"/>
        <n v="1.06988509187212"/>
        <n v="1.05393508006768"/>
        <n v="1.17973088759227"/>
        <n v="1.06268164901374"/>
        <n v="0.786017679217365"/>
        <n v="1.02005727989747"/>
        <n v="1.07657728472066"/>
        <n v="1.03502217047799"/>
        <n v="1.03025678706341"/>
        <n v="1.0020412748459"/>
        <n v="0.99360515971793"/>
        <n v="1.05403629312866"/>
        <n v="1.08942552413915"/>
        <n v="0.980750429882318"/>
        <n v="1.02072120204116"/>
        <n v="1.0481510672622"/>
        <n v="0.966635450643368"/>
        <n v="1.00184803082245"/>
        <n v="1.05792914540618"/>
        <n v="0.975690382495204"/>
        <n v="0.660047378284758"/>
        <n v="1.09282272543514"/>
        <n v="0.823442274983572"/>
        <n v="1.05330340514468"/>
        <n v="1.01906455342849"/>
        <n v="1.03938285150806"/>
        <n v="1.09169827835835"/>
        <n v="1.08503784862965"/>
        <n v="0.951824819073136"/>
        <n v="1.10110132432944"/>
        <n v="1.06642825841733"/>
        <n v="1.09683713854713"/>
        <n v="0.982749704302021"/>
        <n v="1.1267584770115"/>
        <n v="1.03959632490376"/>
        <n v="1.05948096466912"/>
        <n v="1.15343227239508"/>
        <n v="1.06557420937336"/>
        <n v="1.01812507239173"/>
        <n v="1.03534812824961"/>
        <n v="0.749440337870337"/>
        <n v="1.14044828874341"/>
        <n v="1.04359281687269"/>
        <n v="0.978862477570394"/>
        <n v="1.05941497712526"/>
        <n v="1.12467765451839"/>
        <n v="0.763998307500198"/>
        <n v="1.01807654613441"/>
        <n v="0.973329846492676"/>
        <n v="0.934294395131275"/>
        <n v="1.07007550345137"/>
        <n v="0.977135006666494"/>
        <n v="0.999748089907976"/>
        <n v="1.06397836345524"/>
        <n v="1.0867833619388"/>
        <n v="0.608001785730201"/>
        <n v="0.986971457401266"/>
        <n v="0.976231892299482"/>
        <n v="0.945799386804667"/>
        <n v="1.06728977888511"/>
        <n v="1.01964400975743"/>
        <n v="1.06324208186637"/>
        <n v="1.03682509995022"/>
        <n v="1.0446943311555"/>
        <n v="0.94583339441557"/>
        <n v="1.03325057464175"/>
        <n v="0.988114968297198"/>
        <n v="0.996393902960227"/>
        <n v="0.984525469194315"/>
        <n v="1.0246315610554"/>
        <n v="0.925525137199664"/>
        <n v="0.955519317029564"/>
        <n v="1.14039684792096"/>
        <n v="0.996214294928709"/>
        <n v="0.984431930916808"/>
        <n v="1.03847466220318"/>
        <n v="0.942606001804919"/>
        <n v="0.902317360704976"/>
        <n v="1.01928117600735"/>
        <n v="1.03836257927845"/>
        <n v="0.947971905494714"/>
        <n v="1.01965935850978"/>
        <n v="0.918870411016499"/>
        <n v="1.05718670989962"/>
        <n v="1.02674018988985"/>
        <n v="0.767683995639479"/>
        <n v="1.08350435358576"/>
        <n v="0.956521571465482"/>
        <n v="0.973230365459493"/>
        <n v="1.0187671818376"/>
        <n v="0.719297604039071"/>
        <n v="1.08240130877667"/>
        <n v="0.890467021004572"/>
        <n v="0.992128351290271"/>
        <n v="1.0646552002502"/>
        <n v="1.03355637378607"/>
        <n v="1.05282629172705"/>
        <n v="1.06602356548919"/>
        <n v="1.07869015254702"/>
        <n v="0.932712515130587"/>
        <n v="0.984376261215355"/>
        <n v="1.02494978465882"/>
        <n v="0.959526730105273"/>
        <n v="1.0339133981432"/>
        <n v="0.933041933733239"/>
        <n v="1.04497195595166"/>
        <n v="1.23712635172221"/>
        <n v="1.03015446902703"/>
        <n v="1.07120029581628"/>
        <n v="0.886539486589263"/>
        <n v="0.987590973511234"/>
        <n v="1.09862679173634"/>
        <n v="0.982107137328673"/>
        <n v="1.0907701250689"/>
        <n v="0.77313374197329"/>
        <n v="1.21383561499245"/>
        <n v="0.763243784747326"/>
        <n v="1.06769117292136"/>
        <n v="0.856939663159359"/>
        <n v="1.13666369763713"/>
        <n v="1.04059569126563"/>
        <n v="1.00513066380416"/>
        <n v="1.07625724044523"/>
        <n v="1.00725211334111"/>
        <n v="1.0450481866251"/>
        <n v="1.040695298626"/>
        <n v="1.05830764820121"/>
        <n v="0.99108706776673"/>
        <n v="1.01106214448817"/>
        <n v="1.02266114197293"/>
        <n v="1.02062204439176"/>
        <n v="1.12690383152139"/>
        <n v="0.735994444423828"/>
        <n v="0.887043797340559"/>
        <n v="1.22258977412701"/>
        <n v="1.03852551724569"/>
        <n v="0.950216127589805"/>
        <n v="0.783668649175522"/>
        <n v="1.01408175013251"/>
        <n v="0.949740581202778"/>
        <n v="1.01815439586563"/>
        <n v="0.721118078659533"/>
        <n v="1.0474313937092"/>
        <n v="1.02349373884867"/>
        <n v="1.00175919546644"/>
        <n v="0.986789547356078"/>
        <n v="0.991634470086925"/>
        <n v="0.730051759598775"/>
        <n v="1.01839837099269"/>
        <n v="1.14840951763084"/>
        <n v="0.939694955367911"/>
        <n v="1.12141900181483"/>
        <n v="0.841190762501073"/>
        <n v="0.897919482579558"/>
        <n v="1.02621961326659"/>
        <n v="1.08817875512111"/>
        <n v="1.10612944079918"/>
        <n v="1.41637191575218"/>
        <n v="1.00898606551957"/>
        <n v="0.577523530225125"/>
        <n v="1.13819807456312"/>
        <n v="1.00562934566324"/>
        <n v="1.06189836069441"/>
        <n v="0.98802164386764"/>
        <n v="1.08943826048102"/>
        <n v="1.09005671671421"/>
        <n v="1.00342277669246"/>
        <n v="1.0053494233701"/>
        <n v="0.654797010873545"/>
        <n v="0.916416799326423"/>
        <n v="1.02848359893451"/>
        <n v="0.761181096920781"/>
        <n v="0.875977487378574"/>
        <n v="1.02734317054425"/>
        <n v="1.47689644323248"/>
        <n v="0.569599833619522"/>
        <n v="3.15917320024508"/>
        <n v="1.07607262480027"/>
        <n v="1.08827010249425"/>
        <n v="0.801661171152091"/>
        <n v="0.822508366895456"/>
        <n v="1.03794668017827"/>
        <n v="1.03888205205795"/>
        <n v="1.0479412362307"/>
        <n v="0.997030178900273"/>
        <n v="0.826628099367207"/>
        <n v="0.981193234374807"/>
        <n v="0.505967254186741"/>
        <n v="0.683464890448084"/>
        <n v="0.882792436200435"/>
        <n v="0.963347507061431"/>
        <n v="0.989467650110612"/>
        <n v="1.07462604314884"/>
        <n v="0.872311101031072"/>
        <n v="0.780927788835691"/>
        <n v="1.08357653238018"/>
        <n v="0.9872946935884"/>
        <n v="0.824290690528467"/>
        <n v="0.523787369510557"/>
        <n v="0.901629128711519"/>
        <n v="0.971231745900543"/>
        <n v="0.641412195105589"/>
        <n v="0.994393255571358"/>
        <n v="0.647791083147284"/>
        <n v="0.935553983171406"/>
        <n v="0.766050961585927"/>
        <n v="0.908092424878546"/>
        <n v="0.192960698431968"/>
        <n v="0.770248900430396"/>
        <n v="0.854513669184604"/>
        <n v="0.879012155611754"/>
        <n v="0.758027817801647"/>
        <n v="0.774236906892697"/>
        <n v="0.872822765311943"/>
        <n v="0.415205087092727"/>
        <n v="0.91933922844385"/>
        <n v="0.923365962488925"/>
        <n v="0.917719636651003"/>
        <n v="0.504401761979741"/>
        <n v="0.849755025212378"/>
        <n v="0.714904970563725"/>
        <n v="1.05412747327755"/>
        <n v="0.522809785585625"/>
        <n v="1.76125224090238"/>
        <n v="0.94305465506934"/>
        <n v="0.533881715539913"/>
        <n v="0.885094532848294"/>
        <n v="1.09963298774182"/>
        <n v="1.05318671879441"/>
        <n v="0.784261117675285"/>
        <n v="0.589067587455702"/>
        <n v="0.566967855906612"/>
        <n v="0.888989494695902"/>
        <n v="0.955969685287649"/>
        <n v="1.23442289578108"/>
        <n v="0.67749833738919"/>
        <n v="0.771484679405256"/>
        <n v="0.420053934925244"/>
        <n v="1.64574167994271"/>
        <n v="0.978453023749996"/>
        <n v="1.53596265749925"/>
        <n v="0.826327513113458"/>
        <n v="0.693991136152816"/>
        <n v="0.0751083437859112"/>
        <n v="1.06384589756792"/>
        <n v="1.06223625628109"/>
        <n v="0.098144220798894"/>
        <n v="1.85467562101894"/>
        <n v="0.294904702091639"/>
        <n v="0.456591974384612"/>
        <n v="0.637341244090109"/>
        <n v="0.00603038105977917"/>
        <n v="0.109312017489923"/>
        <n v="0.0834579406753138"/>
        <n v="0.406914642387426"/>
        <n v="4.73154135592457"/>
        <n v="0"/>
        <n v="0.292619486290235"/>
        <n v="0.507568408942227"/>
        <n v="6.37768269881508"/>
        <n v="1.39253649300678"/>
        <n v="2.86976268310334"/>
        <n v="0.140787385450264"/>
        <n v="2.58003000687073"/>
        <n v="0.276355596928089"/>
        <n v="0.699963543565439"/>
        <n v="0.501091085427948"/>
        <n v="0.526713134469863"/>
        <n v="0.599076717059591"/>
        <n v="0.0801121570198278"/>
        <n v="1.52733937480908"/>
        <n v="0.496842976917503"/>
        <n v="0.858903609542419"/>
        <n v="0.249370339891773"/>
        <n v="0.0250670543704409"/>
        <n v="2.45935237054242"/>
        <n v="0.491130756341365"/>
        <n v="0.5827327097071"/>
        <n v="2.0149038922826"/>
        <n v="1.79886072154302"/>
        <n v="0.0383715129887572"/>
        <n v="0.364475762361803"/>
        <n v="0.892395848010897"/>
        <n v="1.2432458279539"/>
        <n v="0.0492344050022156"/>
        <n v="0.154440154440154"/>
        <n v="0.0517330574236937"/>
        <n v="7.14569273521239"/>
        <n v="7.12957222566646"/>
        <n v="0.320307495195388"/>
        <n v="1.44346431435445"/>
        <n v="1.37551581843191"/>
        <n v="0.804667069000201"/>
        <n v="3.76647834274953"/>
        <n v="1.42247510668563"/>
        <n v="1.14854517611026"/>
        <n v="0.50125313283208"/>
        <n v="1.7825311942959"/>
        <n v="8.33867864015395"/>
      </sharedItems>
    </cacheField>
    <cacheField name="激活24小时内混合变现金额" numFmtId="4">
      <sharedItems containsSemiMixedTypes="0" containsString="0" containsNumber="1" minValue="0" maxValue="11520.16" count="384">
        <n v="11520.16"/>
        <n v="9598.36"/>
        <n v="5338.46"/>
        <n v="4286.88"/>
        <n v="4075.7"/>
        <n v="4111.24"/>
        <n v="3843.75"/>
        <n v="3317.17"/>
        <n v="3523.38"/>
        <n v="3216.64"/>
        <n v="2876.44"/>
        <n v="2891"/>
        <n v="2754.66"/>
        <n v="2762.13"/>
        <n v="2621.4"/>
        <n v="2590.58"/>
        <n v="2539.67"/>
        <n v="2538.44"/>
        <n v="2383.08"/>
        <n v="2539.69"/>
        <n v="2495.13"/>
        <n v="2286.42"/>
        <n v="2373.79"/>
        <n v="2419.01"/>
        <n v="2412.67"/>
        <n v="2354.99"/>
        <n v="2274.31"/>
        <n v="2271.02"/>
        <n v="1854.84"/>
        <n v="2026.74"/>
        <n v="2015.32"/>
        <n v="1912.91"/>
        <n v="1925.82"/>
        <n v="1847.41"/>
        <n v="1887.34"/>
        <n v="1761.49"/>
        <n v="1557.43"/>
        <n v="1615.75"/>
        <n v="1567.76"/>
        <n v="1459.2"/>
        <n v="1417.87"/>
        <n v="1235.47"/>
        <n v="1292.84"/>
        <n v="1287.23"/>
        <n v="1369.91"/>
        <n v="1385.58"/>
        <n v="1357.22"/>
        <n v="1371.34"/>
        <n v="1327.25"/>
        <n v="1259.09"/>
        <n v="1022.9"/>
        <n v="1140.29"/>
        <n v="1164.32"/>
        <n v="1090.72"/>
        <n v="1058.16"/>
        <n v="1115.29"/>
        <n v="1025.89"/>
        <n v="1042.98"/>
        <n v="931.15"/>
        <n v="1017.33"/>
        <n v="944.68"/>
        <n v="942.76"/>
        <n v="934.88"/>
        <n v="951.59"/>
        <n v="898.67"/>
        <n v="884.91"/>
        <n v="831.77"/>
        <n v="777.97"/>
        <n v="799.92"/>
        <n v="755.99"/>
        <n v="755.9"/>
        <n v="750.84"/>
        <n v="730.95"/>
        <n v="764.96"/>
        <n v="742.77"/>
        <n v="740.86"/>
        <n v="739.38"/>
        <n v="718.72"/>
        <n v="667.75"/>
        <n v="676.86"/>
        <n v="686.96"/>
        <n v="679.41"/>
        <n v="628.76"/>
        <n v="692.64"/>
        <n v="662.02"/>
        <n v="629.04"/>
        <n v="679.1"/>
        <n v="635.23"/>
        <n v="666.66"/>
        <n v="624.72"/>
        <n v="594.54"/>
        <n v="650.87"/>
        <n v="623.88"/>
        <n v="611.32"/>
        <n v="549.74"/>
        <n v="579.97"/>
        <n v="560.5"/>
        <n v="542.2"/>
        <n v="513.4"/>
        <n v="569.39"/>
        <n v="558.43"/>
        <n v="622.65"/>
        <n v="551.6"/>
        <n v="463.12"/>
        <n v="486.17"/>
        <n v="506.76"/>
        <n v="484.9"/>
        <n v="477.92"/>
        <n v="461.25"/>
        <n v="456.31"/>
        <n v="478.68"/>
        <n v="466.79"/>
        <n v="417.03"/>
        <n v="432.54"/>
        <n v="441.53"/>
        <n v="396.21"/>
        <n v="408.23"/>
        <n v="430.57"/>
        <n v="379.57"/>
        <n v="352.36"/>
        <n v="424.08"/>
        <n v="315.83"/>
        <n v="402.6"/>
        <n v="389.45"/>
        <n v="396.11"/>
        <n v="414.03"/>
        <n v="410.41"/>
        <n v="357.46"/>
        <n v="404.88"/>
        <n v="385.38"/>
        <n v="395.42"/>
        <n v="354.01"/>
        <n v="401.62"/>
        <n v="364.85"/>
        <n v="371.59"/>
        <n v="400.88"/>
        <n v="370.16"/>
        <n v="350.46"/>
        <n v="354.43"/>
        <n v="314.49"/>
        <n v="380.7"/>
        <n v="344.75"/>
        <n v="322.14"/>
        <n v="342.68"/>
        <n v="363.65"/>
        <n v="233.7"/>
        <n v="309.23"/>
        <n v="291.24"/>
        <n v="276.86"/>
        <n v="313.42"/>
        <n v="285.9"/>
        <n v="279.95"/>
        <n v="293.76"/>
        <n v="298.46"/>
        <n v="223.23"/>
        <n v="266.05"/>
        <n v="260.94"/>
        <n v="252.03"/>
        <n v="284.13"/>
        <n v="259.53"/>
        <n v="269.87"/>
        <n v="259.95"/>
        <n v="261.03"/>
        <n v="236.14"/>
        <n v="249.29"/>
        <n v="237.63"/>
        <n v="237.1"/>
        <n v="228.49"/>
        <n v="235.34"/>
        <n v="211.34"/>
        <n v="217.86"/>
        <n v="255.36"/>
        <n v="219.55"/>
        <n v="210.14"/>
        <n v="212.98"/>
        <n v="192.53"/>
        <n v="180.53"/>
        <n v="202.74"/>
        <n v="204.8"/>
        <n v="185.11"/>
        <n v="198.88"/>
        <n v="178.86"/>
        <n v="205.59"/>
        <n v="199.66"/>
        <n v="182.64"/>
        <n v="204.87"/>
        <n v="178.59"/>
        <n v="179.56"/>
        <n v="187.3"/>
        <n v="141.84"/>
        <n v="194.71"/>
        <n v="157.65"/>
        <n v="174.06"/>
        <n v="184.64"/>
        <n v="178.26"/>
        <n v="181.45"/>
        <n v="183.63"/>
        <n v="183.4"/>
        <n v="157"/>
        <n v="165.49"/>
        <n v="172.29"/>
        <n v="160.21"/>
        <n v="171.21"/>
        <n v="152.19"/>
        <n v="170.32"/>
        <n v="199.34"/>
        <n v="165.53"/>
        <n v="167.24"/>
        <n v="138.28"/>
        <n v="153.36"/>
        <n v="167.95"/>
        <n v="149.92"/>
        <n v="165.09"/>
        <n v="116.38"/>
        <n v="181.7"/>
        <n v="114.1"/>
        <n v="157.49"/>
        <n v="125.93"/>
        <n v="165.17"/>
        <n v="149.5"/>
        <n v="142.14"/>
        <n v="151.75"/>
        <n v="139.15"/>
        <n v="142.77"/>
        <n v="135.64"/>
        <n v="134.59"/>
        <n v="125.85"/>
        <n v="128.38"/>
        <n v="128.81"/>
        <n v="127.04"/>
        <n v="139.81"/>
        <n v="91.23"/>
        <n v="109.16"/>
        <n v="149.17"/>
        <n v="126.4"/>
        <n v="115.26"/>
        <n v="108.09"/>
        <n v="122.68"/>
        <n v="113.6"/>
        <n v="121.08"/>
        <n v="89.93"/>
        <n v="123.76"/>
        <n v="117.9"/>
        <n v="113.82"/>
        <n v="111.54"/>
        <n v="111.35"/>
        <n v="81.8"/>
        <n v="113.66"/>
        <n v="126.69"/>
        <n v="103.01"/>
        <n v="121.99"/>
        <n v="91.24"/>
        <n v="97.17"/>
        <n v="108.53"/>
        <n v="108.89"/>
        <n v="109.89"/>
        <n v="94.61"/>
        <n v="53.88"/>
        <n v="102.08"/>
        <n v="87.7"/>
        <n v="91.84"/>
        <n v="83.43"/>
        <n v="91.48"/>
        <n v="91.04"/>
        <n v="78.91"/>
        <n v="78.39"/>
        <n v="47.84"/>
        <n v="66.72"/>
        <n v="72.99"/>
        <n v="56.93"/>
        <n v="58.4"/>
        <n v="64.2"/>
        <n v="88.86"/>
        <n v="40.76"/>
        <n v="180.05"/>
        <n v="61.25"/>
        <n v="60.92"/>
        <n v="43.68"/>
        <n v="44.66"/>
        <n v="56.17"/>
        <n v="55.48"/>
        <n v="53.02"/>
        <n v="49.22"/>
        <n v="38.1"/>
        <n v="43.65"/>
        <n v="21.94"/>
        <n v="29.41"/>
        <n v="37.42"/>
        <n v="39.14"/>
        <n v="40.08"/>
        <n v="42.12"/>
        <n v="30.5"/>
        <n v="26.13"/>
        <n v="35.93"/>
        <n v="29.88"/>
        <n v="24.17"/>
        <n v="15.03"/>
        <n v="25.61"/>
        <n v="26.79"/>
        <n v="17.21"/>
        <n v="25.08"/>
        <n v="15.32"/>
        <n v="21.38"/>
        <n v="16.76"/>
        <n v="19.38"/>
        <n v="4.05"/>
        <n v="14.7"/>
        <n v="15.49"/>
        <n v="15.53"/>
        <n v="12.5"/>
        <n v="11.29"/>
        <n v="12.67"/>
        <n v="6"/>
        <n v="13.08"/>
        <n v="12.11"/>
        <n v="11.88"/>
        <n v="6.33"/>
        <n v="10.46"/>
        <n v="8.51"/>
        <n v="11.49"/>
        <n v="5.03"/>
        <n v="16.79"/>
        <n v="8.96"/>
        <n v="4.59"/>
        <n v="7.45"/>
        <n v="7.05"/>
        <n v="6.67"/>
        <n v="4.56"/>
        <n v="3.11"/>
        <n v="2.85"/>
        <n v="4.32"/>
        <n v="4.29"/>
        <n v="5.36"/>
        <n v="2.72"/>
        <n v="2.97"/>
        <n v="1.5"/>
        <n v="5.63"/>
        <n v="3.26"/>
        <n v="4.87"/>
        <n v="2.53"/>
        <n v="2.02"/>
        <n v="0.2"/>
        <n v="2.81"/>
        <n v="2.56"/>
        <n v="0.23"/>
        <n v="3.43"/>
        <n v="0.54"/>
        <n v="0.79"/>
        <n v="1.1"/>
        <n v="0.01"/>
        <n v="0.16"/>
        <n v="0.12"/>
        <n v="0.56"/>
        <n v="6.3"/>
        <n v="0"/>
        <n v="0.27"/>
        <n v="0.45"/>
        <n v="5.56"/>
        <n v="1.14"/>
        <n v="2.3"/>
        <n v="0.11"/>
        <n v="1.84"/>
        <n v="0.19"/>
        <n v="0.48"/>
        <n v="0.31"/>
        <n v="0.3"/>
        <n v="0.34"/>
        <n v="0.04"/>
        <n v="0.75"/>
        <n v="0.24"/>
        <n v="0.4"/>
        <n v="0.1"/>
        <n v="0.9"/>
        <n v="0.17"/>
        <n v="0.63"/>
        <n v="0.09"/>
        <n v="0.26"/>
        <n v="0.03"/>
        <n v="1.08"/>
        <n v="0.92"/>
        <n v="0.18"/>
        <n v="0.15"/>
        <n v="0.06"/>
        <n v="0.13"/>
      </sharedItems>
    </cacheField>
    <cacheField name="激活24小时内混合变现ROI" numFmtId="2">
      <sharedItems containsSemiMixedTypes="0" containsString="0" containsNumber="1" minValue="0" maxValue="8.33867864015395" count="398">
        <n v="1.01206169266689"/>
        <n v="1.02779768066139"/>
        <n v="1.04097785174865"/>
        <n v="1.04987838519306"/>
        <n v="1.00542506713532"/>
        <n v="1.01605120134492"/>
        <n v="1.02507339798883"/>
        <n v="0.942137437947333"/>
        <n v="1.04282336703223"/>
        <n v="1.02077514668422"/>
        <n v="1.0193776192221"/>
        <n v="1.06510890246684"/>
        <n v="1.04343293275791"/>
        <n v="1.0577891862491"/>
        <n v="1.021510026329"/>
        <n v="1.0331047547157"/>
        <n v="1.06179883976045"/>
        <n v="1.06179696038974"/>
        <n v="1.01068757108372"/>
        <n v="1.08190455723066"/>
        <n v="1.08819688019088"/>
        <n v="0.998638728950173"/>
        <n v="1.04323723688264"/>
        <n v="1.06514406969488"/>
        <n v="1.06747560617347"/>
        <n v="1.04198731602701"/>
        <n v="1.01946674006066"/>
        <n v="1.02005574072681"/>
        <n v="0.960624315690347"/>
        <n v="1.05379032507092"/>
        <n v="1.08169155988009"/>
        <n v="1.02751811700922"/>
        <n v="1.07763381870558"/>
        <n v="1.03495809464809"/>
        <n v="1.08238935531829"/>
        <n v="1.04852519406651"/>
        <n v="1.02755225978069"/>
        <n v="1.08057803712215"/>
        <n v="1.08715640745789"/>
        <n v="1.02233222102158"/>
        <n v="1.01849047926145"/>
        <n v="0.922068298298241"/>
        <n v="0.968731494273575"/>
        <n v="1.00041037475057"/>
        <n v="1.06720925383874"/>
        <n v="1.08144546920218"/>
        <n v="1.07176921955274"/>
        <n v="1.08700662303257"/>
        <n v="1.08033234954513"/>
        <n v="1.07241921067871"/>
        <n v="0.906040885216737"/>
        <n v="1.04667210883415"/>
        <n v="1.07641267098355"/>
        <n v="1.00965782437882"/>
        <n v="0.98861971791825"/>
        <n v="1.07029435441104"/>
        <n v="1.0002380841394"/>
        <n v="1.03328161872663"/>
        <n v="1.02852177082299"/>
        <n v="1.12388505919136"/>
        <n v="1.05353121373949"/>
        <n v="1.06244233332108"/>
        <n v="1.0553079553037"/>
        <n v="1.08716390504787"/>
        <n v="1.04847186453688"/>
        <n v="1.07311151394411"/>
        <n v="1.01701529919822"/>
        <n v="0.964415023225014"/>
        <n v="1.02409661228503"/>
        <n v="0.981594317750594"/>
        <n v="1.02584311744156"/>
        <n v="1.0218950862272"/>
        <n v="1.02015161969429"/>
        <n v="1.07333848721769"/>
        <n v="1.04894885656567"/>
        <n v="1.0480734036739"/>
        <n v="1.05822503324647"/>
        <n v="1.04957229914207"/>
        <n v="0.990546970320676"/>
        <n v="1.01073598247424"/>
        <n v="1.04652520224363"/>
        <n v="1.04203397989971"/>
        <n v="0.989800767097169"/>
        <n v="1.09525320543488"/>
        <n v="1.0501323261589"/>
        <n v="1.00818921338194"/>
        <n v="1.11040243675697"/>
        <n v="1.04235129957773"/>
        <n v="1.09756484858006"/>
        <n v="1.04751250238332"/>
        <n v="1.00234999433782"/>
        <n v="1.10427202291617"/>
        <n v="1.06459307752054"/>
        <n v="1.08001581191768"/>
        <n v="0.971783696300042"/>
        <n v="1.0371230021586"/>
        <n v="1.01775119692897"/>
        <n v="0.989338247302083"/>
        <n v="0.955796247995206"/>
        <n v="1.06988509187212"/>
        <n v="1.05393508006768"/>
        <n v="1.17973088759227"/>
        <n v="1.06268164901374"/>
        <n v="0.921827616802518"/>
        <n v="1.02005727989747"/>
        <n v="1.07657728472066"/>
        <n v="1.03502217047799"/>
        <n v="1.03025678706341"/>
        <n v="1.0020412748459"/>
        <n v="0.99360515971793"/>
        <n v="1.05403629312866"/>
        <n v="1.08942552413915"/>
        <n v="0.980750429882318"/>
        <n v="1.02072120204116"/>
        <n v="1.0481510672622"/>
        <n v="0.966635450643368"/>
        <n v="1.00184803082245"/>
        <n v="1.05792914540618"/>
        <n v="0.975690382495204"/>
        <n v="0.907323739758972"/>
        <n v="1.09282272543514"/>
        <n v="0.823442274983572"/>
        <n v="1.05330340514468"/>
        <n v="1.01906455342849"/>
        <n v="1.03938285150806"/>
        <n v="1.09169827835835"/>
        <n v="1.08503784862965"/>
        <n v="0.951824819073136"/>
        <n v="1.10110132432944"/>
        <n v="1.06642825841733"/>
        <n v="1.09683713854713"/>
        <n v="0.982749704302021"/>
        <n v="1.1267584770115"/>
        <n v="1.03959632490376"/>
        <n v="1.05948096466912"/>
        <n v="1.15343227239508"/>
        <n v="1.06557420937336"/>
        <n v="1.01812507239173"/>
        <n v="1.03534812824961"/>
        <n v="0.933099061153815"/>
        <n v="1.14044828874341"/>
        <n v="1.04359281687269"/>
        <n v="0.978862477570394"/>
        <n v="1.05941497712526"/>
        <n v="1.12467765451839"/>
        <n v="0.763998307500198"/>
        <n v="1.01807654613441"/>
        <n v="0.973329846492676"/>
        <n v="0.934294395131275"/>
        <n v="1.07007550345137"/>
        <n v="0.977135006666494"/>
        <n v="0.999748089907976"/>
        <n v="1.06397836345524"/>
        <n v="1.0867833619388"/>
        <n v="0.825523013372378"/>
        <n v="0.986971457401266"/>
        <n v="0.976231892299482"/>
        <n v="0.945799386804667"/>
        <n v="1.06728977888511"/>
        <n v="1.01964400975743"/>
        <n v="1.06324208186637"/>
        <n v="1.03682509995022"/>
        <n v="1.0446943311555"/>
        <n v="0.94583339441557"/>
        <n v="1.03325057464175"/>
        <n v="0.988114968297198"/>
        <n v="0.996393902960227"/>
        <n v="0.984525469194315"/>
        <n v="1.0246315610554"/>
        <n v="0.925525137199664"/>
        <n v="0.955519317029564"/>
        <n v="1.14039684792096"/>
        <n v="0.996214294928709"/>
        <n v="0.984431930916808"/>
        <n v="1.03847466220318"/>
        <n v="0.942606001804919"/>
        <n v="0.902317360704976"/>
        <n v="1.01928117600735"/>
        <n v="1.03836257927845"/>
        <n v="0.947971905494714"/>
        <n v="1.01965935850978"/>
        <n v="0.918870411016499"/>
        <n v="1.05718670989962"/>
        <n v="1.02674018988985"/>
        <n v="0.957586429200891"/>
        <n v="1.08350435358576"/>
        <n v="0.956521571465482"/>
        <n v="0.973230365459493"/>
        <n v="1.0187671818376"/>
        <n v="0.783543292810858"/>
        <n v="1.08240130877667"/>
        <n v="0.890467021004572"/>
        <n v="0.992128351290271"/>
        <n v="1.0646552002502"/>
        <n v="1.03355637378607"/>
        <n v="1.05282629172705"/>
        <n v="1.06602356548919"/>
        <n v="1.07869015254702"/>
        <n v="0.932712515130587"/>
        <n v="0.984376261215355"/>
        <n v="1.02494978465882"/>
        <n v="0.959526730105273"/>
        <n v="1.0339133981432"/>
        <n v="0.933041933733239"/>
        <n v="1.04497195595166"/>
        <n v="1.23712635172221"/>
        <n v="1.03015446902703"/>
        <n v="1.07120029581628"/>
        <n v="0.886539486589263"/>
        <n v="0.987590973511234"/>
        <n v="1.09862679173634"/>
        <n v="0.982107137328673"/>
        <n v="1.0907701250689"/>
        <n v="0.77313374197329"/>
        <n v="1.21383561499245"/>
        <n v="0.763243784747326"/>
        <n v="1.06769117292136"/>
        <n v="0.856939663159359"/>
        <n v="1.13666369763713"/>
        <n v="1.04059569126563"/>
        <n v="1.00513066380416"/>
        <n v="1.07625724044523"/>
        <n v="1.01256416393163"/>
        <n v="1.0450481866251"/>
        <n v="1.040695298626"/>
        <n v="1.05830764820121"/>
        <n v="0.99108706776673"/>
        <n v="1.01106214448817"/>
        <n v="1.02266114197293"/>
        <n v="1.02062204439176"/>
        <n v="1.12690383152139"/>
        <n v="0.735994444423828"/>
        <n v="0.887043797340559"/>
        <n v="1.22258977412701"/>
        <n v="1.03852551724569"/>
        <n v="0.950216127589805"/>
        <n v="0.892401435834199"/>
        <n v="1.01408175013251"/>
        <n v="0.949740581202778"/>
        <n v="1.01815439586563"/>
        <n v="0.758126593568527"/>
        <n v="1.0474313937092"/>
        <n v="1.02349373884867"/>
        <n v="1.00175919546644"/>
        <n v="0.986789547356078"/>
        <n v="0.991634470086925"/>
        <n v="0.730051759598775"/>
        <n v="1.01839837099269"/>
        <n v="1.14840951763084"/>
        <n v="0.939694955367911"/>
        <n v="1.12141900181483"/>
        <n v="0.841190762501073"/>
        <n v="0.897919482579558"/>
        <n v="1.02621961326659"/>
        <n v="1.08817875512111"/>
        <n v="1.10612944079918"/>
        <n v="1.41637191575218"/>
        <n v="1.00898606551957"/>
        <n v="0.577523530225125"/>
        <n v="1.13819807456312"/>
        <n v="1.00562934566324"/>
        <n v="1.06189836069441"/>
        <n v="0.98802164386764"/>
        <n v="1.08943826048102"/>
        <n v="1.09005671671421"/>
        <n v="1.00342277669246"/>
        <n v="1.0053494233701"/>
        <n v="0.654797010873545"/>
        <n v="0.916416799326423"/>
        <n v="1.02848359893451"/>
        <n v="0.824781877573278"/>
        <n v="0.875977487378574"/>
        <n v="1.02734317054425"/>
        <n v="1.47689644323248"/>
        <n v="0.679253634240249"/>
        <n v="3.15917320024508"/>
        <n v="1.07607262480027"/>
        <n v="1.08827010249425"/>
        <n v="0.801661171152091"/>
        <n v="0.822508366895456"/>
        <n v="1.03794668017827"/>
        <n v="1.03888205205795"/>
        <n v="1.0479412362307"/>
        <n v="0.997030178900273"/>
        <n v="0.826628099367207"/>
        <n v="0.981193234374807"/>
        <n v="0.505967254186741"/>
        <n v="0.683464890448084"/>
        <n v="0.882792436200435"/>
        <n v="0.963347507061431"/>
        <n v="0.989467650110612"/>
        <n v="1.07462604314884"/>
        <n v="0.872311101031072"/>
        <n v="0.780927788835691"/>
        <n v="1.08357653238018"/>
        <n v="0.9872946935884"/>
        <n v="0.824290690528467"/>
        <n v="0.523787369510557"/>
        <n v="0.901629128711519"/>
        <n v="0.971231745900543"/>
        <n v="0.641412195105589"/>
        <n v="0.994393255571358"/>
        <n v="0.647791083147284"/>
        <n v="0.935553983171406"/>
        <n v="0.766050961585927"/>
        <n v="0.908092424878546"/>
        <n v="0.192960698431968"/>
        <n v="0.770248900430396"/>
        <n v="0.854513669184604"/>
        <n v="0.879012155611754"/>
        <n v="0.758027817801647"/>
        <n v="0.774236906892697"/>
        <n v="0.872822765311943"/>
        <n v="0.415205087092727"/>
        <n v="0.91933922844385"/>
        <n v="0.923365962488925"/>
        <n v="0.917719636651003"/>
        <n v="0.504401761979741"/>
        <n v="0.849755025212378"/>
        <n v="0.714904970563725"/>
        <n v="1.05412747327755"/>
        <n v="0.522809785585625"/>
        <n v="1.76125224090238"/>
        <n v="0.94305465506934"/>
        <n v="0.533881715539913"/>
        <n v="0.885094532848294"/>
        <n v="1.09963298774182"/>
        <n v="1.05318671879441"/>
        <n v="0.784261117675285"/>
        <n v="0.589067587455702"/>
        <n v="0.566967855906612"/>
        <n v="0.888989494695902"/>
        <n v="0.955969685287649"/>
        <n v="1.23442289578108"/>
        <n v="0.67749833738919"/>
        <n v="0.771484679405256"/>
        <n v="0.420053934925244"/>
        <n v="1.64574167994271"/>
        <n v="0.978453023749996"/>
        <n v="1.53596265749925"/>
        <n v="0.826327513113458"/>
        <n v="0.693991136152816"/>
        <n v="0.0751083437859112"/>
        <n v="1.06384589756792"/>
        <n v="1.06223625628109"/>
        <n v="0.098144220798894"/>
        <n v="1.85467562101894"/>
        <n v="0.294904702091639"/>
        <n v="0.456591974384612"/>
        <n v="0.637341244090109"/>
        <n v="0.00603038105977917"/>
        <n v="0.109312017489923"/>
        <n v="0.0834579406753138"/>
        <n v="0.406914642387426"/>
        <n v="4.73154135592457"/>
        <n v="0"/>
        <n v="0.292619486290235"/>
        <n v="0.507568408942227"/>
        <n v="6.37768269881508"/>
        <n v="1.39253649300678"/>
        <n v="2.86976268310334"/>
        <n v="0.140787385450264"/>
        <n v="2.58003000687073"/>
        <n v="0.276355596928089"/>
        <n v="0.699963543565439"/>
        <n v="0.501091085427948"/>
        <n v="0.526713134469863"/>
        <n v="0.599076717059591"/>
        <n v="0.0801121570198278"/>
        <n v="1.52733937480908"/>
        <n v="0.496842976917503"/>
        <n v="0.858903609542419"/>
        <n v="0.249370339891773"/>
        <n v="0.0250670543704409"/>
        <n v="2.45935237054242"/>
        <n v="0.491130756341365"/>
        <n v="0.5827327097071"/>
        <n v="2.0149038922826"/>
        <n v="1.79886072154302"/>
        <n v="0.0383715129887572"/>
        <n v="0.364475762361803"/>
        <n v="0.892395848010897"/>
        <n v="1.2432458279539"/>
        <n v="0.0492344050022156"/>
        <n v="0.154440154440154"/>
        <n v="0.0517330574236937"/>
        <n v="7.14569273521239"/>
        <n v="7.12957222566646"/>
        <n v="0.320307495195388"/>
        <n v="1.44346431435445"/>
        <n v="1.37551581843191"/>
        <n v="0.804667069000201"/>
        <n v="3.76647834274953"/>
        <n v="1.42247510668563"/>
        <n v="1.14854517611026"/>
        <n v="0.50125313283208"/>
        <n v="1.7825311942959"/>
        <n v="8.33867864015395"/>
      </sharedItems>
    </cacheField>
    <cacheField name="播放量" numFmtId="3">
      <sharedItems containsSemiMixedTypes="0" containsString="0" containsNumber="1" containsInteger="1" minValue="0" maxValue="210168" count="352">
        <n v="0"/>
        <n v="210168"/>
        <n v="119959"/>
        <n v="91345"/>
        <n v="84538"/>
        <n v="89883"/>
        <n v="71984"/>
        <n v="72906"/>
        <n v="50651"/>
        <n v="54048"/>
        <n v="64470"/>
        <n v="55848"/>
        <n v="63737"/>
        <n v="66370"/>
        <n v="55230"/>
        <n v="43072"/>
        <n v="39798"/>
        <n v="64392"/>
        <n v="52146"/>
        <n v="38930"/>
        <n v="57083"/>
        <n v="43715"/>
        <n v="46836"/>
        <n v="25912"/>
        <n v="50457"/>
        <n v="29444"/>
        <n v="29706"/>
        <n v="37413"/>
        <n v="28245"/>
        <n v="26167"/>
        <n v="31771"/>
        <n v="25817"/>
        <n v="25814"/>
        <n v="24699"/>
        <n v="30561"/>
        <n v="22449"/>
        <n v="23848"/>
        <n v="24182"/>
        <n v="19686"/>
        <n v="20932"/>
        <n v="22080"/>
        <n v="25479"/>
        <n v="23050"/>
        <n v="24040"/>
        <n v="32850"/>
        <n v="36594"/>
        <n v="1163"/>
        <n v="23987"/>
        <n v="14358"/>
        <n v="15625"/>
        <n v="14308"/>
        <n v="23482"/>
        <n v="24188"/>
        <n v="28567"/>
        <n v="25938"/>
        <n v="20657"/>
        <n v="21404"/>
        <n v="32153"/>
        <n v="14203"/>
        <n v="21042"/>
        <n v="13568"/>
        <n v="13699"/>
        <n v="23119"/>
        <n v="11075"/>
        <n v="14573"/>
        <n v="17694"/>
        <n v="13916"/>
        <n v="9846"/>
        <n v="25715"/>
        <n v="9759"/>
        <n v="13389"/>
        <n v="19810"/>
        <n v="9744"/>
        <n v="12195"/>
        <n v="15601"/>
        <n v="11608"/>
        <n v="14444"/>
        <n v="12835"/>
        <n v="13587"/>
        <n v="10509"/>
        <n v="10530"/>
        <n v="13956"/>
        <n v="16024"/>
        <n v="8686"/>
        <n v="11033"/>
        <n v="8396"/>
        <n v="11595"/>
        <n v="12628"/>
        <n v="16516"/>
        <n v="9330"/>
        <n v="9920"/>
        <n v="7818"/>
        <n v="10594"/>
        <n v="11398"/>
        <n v="6597"/>
        <n v="11382"/>
        <n v="14223"/>
        <n v="9380"/>
        <n v="8588"/>
        <n v="6125"/>
        <n v="8878"/>
        <n v="10665"/>
        <n v="9375"/>
        <n v="9623"/>
        <n v="9961"/>
        <n v="9061"/>
        <n v="12001"/>
        <n v="10651"/>
        <n v="9419"/>
        <n v="5126"/>
        <n v="7225"/>
        <n v="8524"/>
        <n v="6944"/>
        <n v="8079"/>
        <n v="7970"/>
        <n v="7047"/>
        <n v="10574"/>
        <n v="7583"/>
        <n v="7220"/>
        <n v="5916"/>
        <n v="7161"/>
        <n v="11910"/>
        <n v="3904"/>
        <n v="8416"/>
        <n v="6233"/>
        <n v="8008"/>
        <n v="4814"/>
        <n v="7441"/>
        <n v="8502"/>
        <n v="7392"/>
        <n v="5355"/>
        <n v="6390"/>
        <n v="8082"/>
        <n v="6358"/>
        <n v="5261"/>
        <n v="3808"/>
        <n v="4989"/>
        <n v="3447"/>
        <n v="3983"/>
        <n v="8132"/>
        <n v="2501"/>
        <n v="4384"/>
        <n v="5267"/>
        <n v="7646"/>
        <n v="5744"/>
        <n v="8183"/>
        <n v="7550"/>
        <n v="4408"/>
        <n v="4332"/>
        <n v="2486"/>
        <n v="6965"/>
        <n v="5149"/>
        <n v="5442"/>
        <n v="6745"/>
        <n v="6414"/>
        <n v="3716"/>
        <n v="7129"/>
        <n v="5381"/>
        <n v="5377"/>
        <n v="3320"/>
        <n v="7164"/>
        <n v="6096"/>
        <n v="8043"/>
        <n v="5123"/>
        <n v="3618"/>
        <n v="5004"/>
        <n v="3236"/>
        <n v="5060"/>
        <n v="4401"/>
        <n v="5277"/>
        <n v="3151"/>
        <n v="4627"/>
        <n v="3351"/>
        <n v="5950"/>
        <n v="4780"/>
        <n v="6078"/>
        <n v="4312"/>
        <n v="3300"/>
        <n v="5285"/>
        <n v="3009"/>
        <n v="5493"/>
        <n v="3982"/>
        <n v="4344"/>
        <n v="3248"/>
        <n v="3958"/>
        <n v="3771"/>
        <n v="4004"/>
        <n v="3502"/>
        <n v="4002"/>
        <n v="4488"/>
        <n v="2418"/>
        <n v="2866"/>
        <n v="2822"/>
        <n v="3252"/>
        <n v="2386"/>
        <n v="4287"/>
        <n v="3688"/>
        <n v="4407"/>
        <n v="1718"/>
        <n v="3241"/>
        <n v="3094"/>
        <n v="3602"/>
        <n v="2537"/>
        <n v="6404"/>
        <n v="3675"/>
        <n v="2202"/>
        <n v="2208"/>
        <n v="1747"/>
        <n v="2183"/>
        <n v="4531"/>
        <n v="3078"/>
        <n v="2938"/>
        <n v="2913"/>
        <n v="3860"/>
        <n v="1750"/>
        <n v="2177"/>
        <n v="1643"/>
        <n v="1364"/>
        <n v="3258"/>
        <n v="2524"/>
        <n v="1689"/>
        <n v="2786"/>
        <n v="2706"/>
        <n v="855"/>
        <n v="2520"/>
        <n v="3713"/>
        <n v="3187"/>
        <n v="2387"/>
        <n v="1308"/>
        <n v="2733"/>
        <n v="1900"/>
        <n v="792"/>
        <n v="1727"/>
        <n v="1837"/>
        <n v="2667"/>
        <n v="1944"/>
        <n v="2221"/>
        <n v="975"/>
        <n v="2441"/>
        <n v="1976"/>
        <n v="1711"/>
        <n v="1814"/>
        <n v="2068"/>
        <n v="1930"/>
        <n v="2797"/>
        <n v="2905"/>
        <n v="1730"/>
        <n v="1476"/>
        <n v="2464"/>
        <n v="621"/>
        <n v="2104"/>
        <n v="1474"/>
        <n v="2362"/>
        <n v="2481"/>
        <n v="939"/>
        <n v="1838"/>
        <n v="2768"/>
        <n v="376"/>
        <n v="1158"/>
        <n v="1529"/>
        <n v="683"/>
        <n v="1830"/>
        <n v="1285"/>
        <n v="1147"/>
        <n v="566"/>
        <n v="1271"/>
        <n v="1940"/>
        <n v="2630"/>
        <n v="701"/>
        <n v="1001"/>
        <n v="1809"/>
        <n v="1625"/>
        <n v="1150"/>
        <n v="1027"/>
        <n v="345"/>
        <n v="852"/>
        <n v="143"/>
        <n v="756"/>
        <n v="1065"/>
        <n v="739"/>
        <n v="2017"/>
        <n v="624"/>
        <n v="639"/>
        <n v="672"/>
        <n v="678"/>
        <n v="396"/>
        <n v="1284"/>
        <n v="383"/>
        <n v="495"/>
        <n v="781"/>
        <n v="114"/>
        <n v="348"/>
        <n v="557"/>
        <n v="472"/>
        <n v="430"/>
        <n v="664"/>
        <n v="72"/>
        <n v="271"/>
        <n v="530"/>
        <n v="170"/>
        <n v="410"/>
        <n v="536"/>
        <n v="20"/>
        <n v="258"/>
        <n v="208"/>
        <n v="209"/>
        <n v="53"/>
        <n v="270"/>
        <n v="54"/>
        <n v="274"/>
        <n v="206"/>
        <n v="326"/>
        <n v="214"/>
        <n v="4"/>
        <n v="118"/>
        <n v="153"/>
        <n v="247"/>
        <n v="124"/>
        <n v="178"/>
        <n v="138"/>
        <n v="127"/>
        <n v="158"/>
        <n v="165"/>
        <n v="130"/>
        <n v="83"/>
        <n v="105"/>
        <n v="81"/>
        <n v="98"/>
        <n v="50"/>
        <n v="102"/>
        <n v="48"/>
        <n v="42"/>
        <n v="16"/>
        <n v="37"/>
        <n v="43"/>
        <n v="31"/>
        <n v="15"/>
        <n v="13"/>
        <n v="46"/>
        <n v="1"/>
        <n v="12"/>
        <n v="30"/>
        <n v="7"/>
        <n v="33"/>
        <n v="11"/>
        <n v="10"/>
        <n v="14"/>
        <n v="8"/>
        <n v="6"/>
        <n v="3"/>
        <n v="2"/>
        <n v="9"/>
      </sharedItems>
    </cacheField>
    <cacheField name="播放成本" numFmtId="2">
      <sharedItems containsSemiMixedTypes="0" containsString="0" containsNumber="1" minValue="0" maxValue="641.025641025641" count="470">
        <n v="0"/>
        <n v="22.5049053118702"/>
        <n v="23.3915140542247"/>
        <n v="22.5336881412949"/>
        <n v="22.5450809545832"/>
        <n v="25.5284291534712"/>
        <n v="21.3052799449529"/>
        <n v="23.1361398366494"/>
        <n v="18.6609584983908"/>
        <n v="20.4727491413457"/>
        <n v="24.689521795672"/>
        <n v="21.7629098765629"/>
        <n v="25.4178592250827"/>
        <n v="27.748325174098"/>
        <n v="23.1020020651759"/>
        <n v="18.2672571049725"/>
        <n v="16.9538949905956"/>
        <n v="28.083175429437"/>
        <n v="22.7757871081585"/>
        <n v="17.1417475054761"/>
        <n v="25.2561311854503"/>
        <n v="19.3421099538091"/>
        <n v="20.9943869734033"/>
        <n v="11.638684095126"/>
        <n v="26.1317531953095"/>
        <n v="15.3092169352696"/>
        <n v="15.9442319223737"/>
        <n v="20.096363818301"/>
        <n v="15.8050945619731"/>
        <n v="14.659305981161"/>
        <n v="18.2206662328025"/>
        <n v="15.3675439174875"/>
        <n v="17.03141331166"/>
        <n v="16.5181475716417"/>
        <n v="21.1923935859575"/>
        <n v="15.7280263361524"/>
        <n v="17.1305979740223"/>
        <n v="18.047751535406"/>
        <n v="14.7508185052053"/>
        <n v="16.2679474253078"/>
        <n v="17.201115638808"/>
        <n v="19.8863646341622"/>
        <n v="18.2021194137212"/>
        <n v="19.0555509339063"/>
        <n v="26.7386835054116"/>
        <n v="31.1686286092152"/>
        <n v="1.03013544775351"/>
        <n v="22.0176655715692"/>
        <n v="13.2739565840849"/>
        <n v="14.4637519307605"/>
        <n v="13.3677051901171"/>
        <n v="22.5346340685204"/>
        <n v="23.5831899903145"/>
        <n v="28.3013634030985"/>
        <n v="28.6503760850634"/>
        <n v="22.82061245389"/>
        <n v="23.8702863391625"/>
        <n v="36.234787584616"/>
        <n v="16.0325805335213"/>
        <n v="24.0398731491685"/>
        <n v="15.8296886043112"/>
        <n v="16.6124855968634"/>
        <n v="28.2678825903358"/>
        <n v="13.7291879921038"/>
        <n v="18.6570656200991"/>
        <n v="22.9742851866811"/>
        <n v="18.8856102954316"/>
        <n v="13.4004302101552"/>
        <n v="35.8891838025017"/>
        <n v="13.6931477420485"/>
        <n v="18.90810915971"/>
        <n v="28.0246391042573"/>
        <n v="13.9459340582023"/>
        <n v="17.808790889411"/>
        <n v="23.1426780740889"/>
        <n v="17.3338996019281"/>
        <n v="22.0042069715952"/>
        <n v="19.6854714119793"/>
        <n v="21.3888018044234"/>
        <n v="16.6176021250796"/>
        <n v="16.7032618266113"/>
        <n v="22.3678759092559"/>
        <n v="26.2009846069706"/>
        <n v="14.2528901155994"/>
        <n v="18.1643311048867"/>
        <n v="14.0781709726123"/>
        <n v="19.5483031996956"/>
        <n v="21.4247808400838"/>
        <n v="28.1830147918338"/>
        <n v="16.483261671779"/>
        <n v="17.5357337419442"/>
        <n v="13.9804259373345"/>
        <n v="19.2364963073426"/>
        <n v="20.7976343466417"/>
        <n v="12.2816280639353"/>
        <n v="21.3868036243849"/>
        <n v="26.8433261891421"/>
        <n v="17.7722247259544"/>
        <n v="16.545159539032"/>
        <n v="12.1916439646645"/>
        <n v="18.627370119361"/>
        <n v="22.6570698980697"/>
        <n v="20.0109978309573"/>
        <n v="20.7443945888668"/>
        <n v="21.6397466422547"/>
        <n v="19.7301316039626"/>
        <n v="26.4257741159796"/>
        <n v="24.8580116489343"/>
        <n v="22.1511361270449"/>
        <n v="12.0964925363272"/>
        <n v="17.1514765949526"/>
        <n v="20.7960439698243"/>
        <n v="17.0414539010634"/>
        <n v="19.8504530407054"/>
        <n v="20.4870046328392"/>
        <n v="18.14595979703"/>
        <n v="27.2484142113545"/>
        <n v="19.8390455072332"/>
        <n v="18.8924023000479"/>
        <n v="15.5234378064721"/>
        <n v="18.881847622936"/>
        <n v="31.4875387470556"/>
        <n v="10.3953563857817"/>
        <n v="22.8879390079939"/>
        <n v="17.24803397871"/>
        <n v="22.2130185764135"/>
        <n v="13.3639080153383"/>
        <n v="20.875976862314"/>
        <n v="24.2254295034445"/>
        <n v="21.0761411524372"/>
        <n v="15.4076776558463"/>
        <n v="18.3948000807644"/>
        <n v="23.4791041347655"/>
        <n v="18.5727602048671"/>
        <n v="15.609507967599"/>
        <n v="11.4074785488177"/>
        <n v="15.1022032295225"/>
        <n v="10.4741384496962"/>
        <n v="12.3136741388172"/>
        <n v="25.1502232546226"/>
        <n v="8.17612223816001"/>
        <n v="14.4334235949075"/>
        <n v="17.6024182855271"/>
        <n v="25.8022644844822"/>
        <n v="19.6111087097973"/>
        <n v="27.967456311829"/>
        <n v="26.962307836418"/>
        <n v="15.9654705409542"/>
        <n v="15.7741255910973"/>
        <n v="9.19343372863742"/>
        <n v="25.8382116173645"/>
        <n v="19.2635012395571"/>
        <n v="20.4223317184105"/>
        <n v="25.3365345390494"/>
        <n v="25.1993861156097"/>
        <n v="14.6404104799179"/>
        <n v="28.4344148395657"/>
        <n v="21.5358395431472"/>
        <n v="21.5369956880347"/>
        <n v="13.7606478711967"/>
        <n v="29.7894021499017"/>
        <n v="25.6179554299686"/>
        <n v="34.6559514584003"/>
        <n v="22.3046974049749"/>
        <n v="15.8443737408365"/>
        <n v="21.9472076673824"/>
        <n v="14.451457549625"/>
        <n v="22.9598921992224"/>
        <n v="20.6171358521218"/>
        <n v="25.7302600828537"/>
        <n v="15.4269543016013"/>
        <n v="23.1264744252032"/>
        <n v="16.8472487955047"/>
        <n v="30.1672722007167"/>
        <n v="24.478989294283"/>
        <n v="31.161954852285"/>
        <n v="22.1523493922797"/>
        <n v="16.9692890834609"/>
        <n v="27.1778117978958"/>
        <n v="15.776267879246"/>
        <n v="29.0510539085594"/>
        <n v="21.3274477718548"/>
        <n v="21.5881964002292"/>
        <n v="23.6280012701682"/>
        <n v="17.9423901230236"/>
        <n v="22.0026931340868"/>
        <n v="22.0512733904336"/>
        <n v="21.49440430148"/>
        <n v="23.0875185322889"/>
        <n v="20.3046921406868"/>
        <n v="23.2207815899238"/>
        <n v="26.0540966177394"/>
        <n v="14.2217709316178"/>
        <n v="17.0264590341673"/>
        <n v="16.785967787478"/>
        <n v="19.3460833461633"/>
        <n v="14.2901864929229"/>
        <n v="25.8885972655796"/>
        <n v="22.6102809094434"/>
        <n v="27.0384652999"/>
        <n v="10.6621002922582"/>
        <n v="20.1699428146959"/>
        <n v="19.817589782681"/>
        <n v="23.0931098546032"/>
        <n v="16.3374954342593"/>
        <n v="41.8910745714767"/>
        <n v="24.0744645789946"/>
        <n v="14.5488873669011"/>
        <n v="14.6681500453431"/>
        <n v="11.6707254782158"/>
        <n v="14.6026396328082"/>
        <n v="30.7175611436071"/>
        <n v="20.9454481315374"/>
        <n v="20.2186713304952"/>
        <n v="20.2759548405136"/>
        <n v="27.2956547226963"/>
        <n v="12.411533250604"/>
        <n v="15.8415536103425"/>
        <n v="12.0264353199204"/>
        <n v="10.4652638405032"/>
        <n v="25.6182949538564"/>
        <n v="13.7815047166609"/>
        <n v="19.8778692373277"/>
        <n v="13.4094765064225"/>
        <n v="22.3823442669666"/>
        <n v="21.811041900414"/>
        <n v="6.89767894313683"/>
        <n v="20.4777424816619"/>
        <n v="30.4315601751933"/>
        <n v="31.2872244436042"/>
        <n v="26.2739788185729"/>
        <n v="19.7073015758741"/>
        <n v="10.812022572329"/>
        <n v="22.8489525389718"/>
        <n v="15.9769850689188"/>
        <n v="6.67670701775018"/>
        <n v="14.6163058899143"/>
        <n v="15.9470568131044"/>
        <n v="23.472955318125"/>
        <n v="17.1984837731775"/>
        <n v="19.77925602212"/>
        <n v="8.70171718348173"/>
        <n v="21.8714624634274"/>
        <n v="17.9118889165564"/>
        <n v="15.6083687858897"/>
        <n v="16.6755805335855"/>
        <n v="19.0660071991694"/>
        <n v="17.8345641800818"/>
        <n v="26.4473994131268"/>
        <n v="29.0307584133236"/>
        <n v="17.4138132003146"/>
        <n v="15.0238228361496"/>
        <n v="26.2777895089338"/>
        <n v="6.65631240292878"/>
        <n v="18.8324505087884"/>
        <n v="24.1259309381467"/>
        <n v="17.0430986897164"/>
        <n v="27.972037909809"/>
        <n v="29.546308747851"/>
        <n v="11.2430058984473"/>
        <n v="23.3720829243537"/>
        <n v="35.4995178452408"/>
        <n v="5.14639791154793"/>
        <n v="15.9054354559352"/>
        <n v="21.5447516477719"/>
        <n v="9.89506450698312"/>
        <n v="27.44929455313"/>
        <n v="20.5628656409557"/>
        <n v="19.06369818127"/>
        <n v="9.4322266187434"/>
        <n v="22.3010782422188"/>
        <n v="34.0829533406126"/>
        <n v="46.9821137485206"/>
        <n v="12.8654872018685"/>
        <n v="18.4355323614499"/>
        <n v="33.4279071469198"/>
        <n v="30.4286830316181"/>
        <n v="22.7297703067768"/>
        <n v="20.8035350209382"/>
        <n v="7.48521507301014"/>
        <n v="19.1518129596182"/>
        <n v="3.29778110067019"/>
        <n v="17.568835674218"/>
        <n v="25.1249049853945"/>
        <n v="18.1889066867245"/>
        <n v="49.7943176215844"/>
        <n v="15.9203858244272"/>
        <n v="18.2756325757002"/>
        <n v="20.0835619631682"/>
        <n v="20.4471163082038"/>
        <n v="13.0846284692439"/>
        <n v="43.78937718819"/>
        <n v="13.3473428158711"/>
        <n v="17.4270370445998"/>
        <n v="28.3139975195343"/>
        <n v="4.24875015932813"/>
        <n v="13.7978011538609"/>
        <n v="23.5521953859685"/>
        <n v="20.6539513590694"/>
        <n v="19.6540521170614"/>
        <n v="31.1131769927428"/>
        <n v="3.43041241656832"/>
        <n v="14.1998266677985"/>
        <n v="29.2377175382725"/>
        <n v="9.6221549551834"/>
        <n v="28.1166635806914"/>
        <n v="36.9244674196686"/>
        <n v="1.38401695697576"/>
        <n v="18.1337554234337"/>
        <n v="15.8596300741285"/>
        <n v="16.1450676818232"/>
        <n v="4.22326909714475"/>
        <n v="21.9344031364572"/>
        <n v="4.53641226914702"/>
        <n v="25.1375916168884"/>
        <n v="21.4112953937652"/>
        <n v="34.197035767372"/>
        <n v="22.5238500206293"/>
        <n v="0.465256396984673"/>
        <n v="14.0189469632347"/>
        <n v="23.8643754786523"/>
        <n v="39.001067397634"/>
        <n v="21.326398813977"/>
        <n v="33.7151223688472"/>
        <n v="27.4531803912675"/>
        <n v="26.1346448672175"/>
        <n v="35.2082075234146"/>
        <n v="37.9999585454998"/>
        <n v="32.3804352428657"/>
        <n v="21.5600095591368"/>
        <n v="29.4037754447671"/>
        <n v="23.6776334059253"/>
        <n v="29.413618505368"/>
        <n v="15.7696371406494"/>
        <n v="17.3104182588985"/>
        <n v="18.2086783248016"/>
        <n v="38.3052553308147"/>
        <n v="18.1724566132598"/>
        <n v="17.4273135796117"/>
        <n v="6.82742405557523"/>
        <n v="20.006704949767"/>
        <n v="23.4831522035935"/>
        <n v="17.9614350607212"/>
        <n v="9.04557158966875"/>
        <n v="8.88160142105623"/>
        <n v="10.4322425844142"/>
        <n v="33.4251313389672"/>
        <n v="0.751038310464217"/>
        <n v="12.9205921938089"/>
        <n v="32.5132762544706"/>
        <n v="7.80735899351989"/>
        <n v="37.22168332243"/>
        <n v="13.764782803198"/>
        <n v="4.67776075592614"/>
        <n v="4.88609295791852"/>
        <n v="18.7158435854565"/>
        <n v="14.0787385450264"/>
        <n v="16.8262826535048"/>
        <n v="5.81801256690715"/>
        <n v="14.58257382428"/>
        <n v="6.46569142487675"/>
        <n v="17.5571044823288"/>
        <n v="26.4298551643937"/>
        <n v="25.0286041189931"/>
        <n v="8.01121570198278"/>
        <n v="67.2029324915996"/>
        <n v="20.701790704896"/>
        <n v="27.9143673101286"/>
        <n v="9.09090909090909"/>
        <n v="27.4307373880951"/>
        <n v="20.0536434963527"/>
        <n v="2.71289438702151"/>
        <n v="16.3956824702828"/>
        <n v="43.3350667360028"/>
        <n v="3.06701426161632"/>
        <n v="3.06908510572998"/>
        <n v="3.11322810622334"/>
        <n v="22.3878210253622"/>
        <n v="9.99367067523902"/>
        <n v="3.42536137562513"/>
        <n v="15.3486051955029"/>
        <n v="3.86533183873836"/>
        <n v="11.6076610562972"/>
        <n v="7.97066794197354"/>
        <n v="4.04973069290892"/>
        <n v="16.4439876670093"/>
        <n v="4.12456176531244"/>
        <n v="12.3767482156855"/>
        <n v="8.85308308618476"/>
        <n v="4.4452347083926"/>
        <n v="4.69682025268893"/>
        <n v="42.4708602708697"/>
        <n v="19.1268588915985"/>
        <n v="9.63251938544526"/>
        <n v="19.2873330440233"/>
        <n v="19.6937620008862"/>
        <n v="4.94951494753514"/>
        <n v="9.95321986662685"/>
        <n v="5.00475451679095"/>
        <n v="15.1156346047262"/>
        <n v="10.1781170483461"/>
        <n v="10.1890060624586"/>
        <n v="5.14800514800515"/>
        <n v="5.17330574236937"/>
        <n v="5.32623169107856"/>
        <n v="5.42240537902614"/>
        <n v="5.47195622435021"/>
        <n v="11.4652602614079"/>
        <n v="5.7780088981337"/>
        <n v="5.87889476778366"/>
        <n v="5.93859492843993"/>
        <n v="5.98444045481748"/>
        <n v="5.99880023995201"/>
        <n v="26.4655286489348"/>
        <n v="28.9205408141132"/>
        <n v="7.24427702115329"/>
        <n v="7.31528895391368"/>
        <n v="14.7743222279678"/>
        <n v="7.45656550592797"/>
        <n v="15.0217815832958"/>
        <n v="7.63417054737003"/>
        <n v="15.3268449689631"/>
        <n v="15.4990700557967"/>
        <n v="7.80762023735166"/>
        <n v="15.7977883096367"/>
        <n v="8.00768737988469"/>
        <n v="8.01924619085806"/>
        <n v="16.3132137030995"/>
        <n v="8.3423709018103"/>
        <n v="8.54627809588924"/>
        <n v="9.09008271975275"/>
        <n v="9.17010545621275"/>
        <n v="9.26698174404596"/>
        <n v="9.77899471934285"/>
        <n v="19.9840127897682"/>
        <n v="41.0677618069815"/>
        <n v="10.3734439834025"/>
        <n v="10.4004160166407"/>
        <n v="10.4079933388843"/>
        <n v="10.752688172043"/>
        <n v="11.1284219897619"/>
        <n v="12.025012025012"/>
        <n v="13.2555673382821"/>
        <n v="14.2592328532725"/>
        <n v="14.8787382829936"/>
        <n v="15.0060024009604"/>
        <n v="15.0738619234248"/>
        <n v="32.6317506934247"/>
        <n v="16.6112956810631"/>
        <n v="17.1614896172988"/>
        <n v="18.2949140139041"/>
        <n v="23.1588698471515"/>
        <n v="71.1237553342816"/>
        <n v="23.89486260454"/>
        <n v="27.2034820457019"/>
        <n v="109.409190371991"/>
        <n v="76.5696784073507"/>
        <n v="100.250626566416"/>
        <n v="59.41770647653"/>
        <n v="64.1436818473381"/>
        <n v="67.7048070412999"/>
        <n v="73.4753857457752"/>
        <n v="98.5221674876847"/>
        <n v="104.275286757039"/>
        <n v="139.664804469274"/>
        <n v="235.849056603774"/>
        <n v="278.551532033426"/>
        <n v="432.900432900433"/>
        <n v="512.820512820513"/>
        <n v="641.025641025641"/>
      </sharedItems>
    </cacheField>
    <cacheField name="播放率" numFmtId="10">
      <sharedItems containsSemiMixedTypes="0" containsString="0" containsNumber="1" minValue="0" maxValue="1" count="439">
        <n v="0"/>
        <n v="0.199004447508136"/>
        <n v="0.24482477820478"/>
        <n v="0.229185850166724"/>
        <n v="0.197354076156103"/>
        <n v="0.207859452109282"/>
        <n v="0.194407909839497"/>
        <n v="0.217575943870623"/>
        <n v="0.192175773809976"/>
        <n v="0.232508517740992"/>
        <n v="0.232409750611035"/>
        <n v="0.247716798772239"/>
        <n v="0.256157061329475"/>
        <n v="0.247833279188651"/>
        <n v="0.236306381085221"/>
        <n v="0.233888659614675"/>
        <n v="0.202103402922014"/>
        <n v="0.230033866335148"/>
        <n v="0.231762060107201"/>
        <n v="0.153669435058578"/>
        <n v="0.20827814690354"/>
        <n v="0.23901692227781"/>
        <n v="0.230461503638788"/>
        <n v="0.147841318202306"/>
        <n v="0.236806165023255"/>
        <n v="0.185777110372198"/>
        <n v="0.211352382036542"/>
        <n v="0.202787082506748"/>
        <n v="0.226104707012488"/>
        <n v="0.179766558350108"/>
        <n v="0.0902226387232351"/>
        <n v="0.207945035560961"/>
        <n v="0.169293223418"/>
        <n v="0.214218806917726"/>
        <n v="0.299605897807929"/>
        <n v="0.0755754256146458"/>
        <n v="0.217357224885616"/>
        <n v="0.247606565434197"/>
        <n v="0.0993464711967904"/>
        <n v="0.198377497251602"/>
        <n v="0.189316642373317"/>
        <n v="0.111127103341795"/>
        <n v="0.221564311324291"/>
        <n v="0.0783705191231891"/>
        <n v="0.118045723402879"/>
        <n v="0.300593893493457"/>
        <n v="0.00326315080638826"/>
        <n v="0.258385936187173"/>
        <n v="0.197157569515963"/>
        <n v="0.188386925645941"/>
        <n v="0.140767194986374"/>
        <n v="0.243908012547521"/>
        <n v="0.222836401157113"/>
        <n v="0.196273368739995"/>
        <n v="0.199397303239495"/>
        <n v="0.2154284164859"/>
        <n v="0.180218410838027"/>
        <n v="0.240005075839006"/>
        <n v="0.110961804389097"/>
        <n v="0.25501127081465"/>
        <n v="0.216564779492746"/>
        <n v="0.130453000161888"/>
        <n v="0.26410244693733"/>
        <n v="0.108049834632533"/>
        <n v="0.221464066987827"/>
        <n v="0.210152501306475"/>
        <n v="0.237941352483543"/>
        <n v="0.042714908570313"/>
        <n v="0.25320007877117"/>
        <n v="0.147068131470681"/>
        <n v="0.224515804477237"/>
        <n v="0.25547774725629"/>
        <n v="0.0697364842620557"/>
        <n v="0.225216074462584"/>
        <n v="0.0634398458022593"/>
        <n v="0.236266308440699"/>
        <n v="0.348703587465598"/>
        <n v="0.316624318523818"/>
        <n v="0.154671918400801"/>
        <n v="0.220503997146394"/>
        <n v="0.209564750134336"/>
        <n v="0.061851009798838"/>
        <n v="0.20489738507768"/>
        <n v="0.207026408618553"/>
        <n v="0.21193261491769"/>
        <n v="0.103513746763654"/>
        <n v="0.176812345603709"/>
        <n v="0.140904475513552"/>
        <n v="0.320387972841901"/>
        <n v="0.312269897583506"/>
        <n v="0.284297710142435"/>
        <n v="0.267510692899914"/>
        <n v="0.232548950741944"/>
        <n v="0.270993818354731"/>
        <n v="0.182519920318725"/>
        <n v="0.180529120669966"/>
        <n v="0.289161770386484"/>
        <n v="0.155269735644171"/>
        <n v="0.132365407438233"/>
        <n v="0.100549946646967"/>
        <n v="0.23715774008281"/>
        <n v="0.342529547790339"/>
        <n v="0.244236029699101"/>
        <n v="0.265337634764386"/>
        <n v="0.225234595816846"/>
        <n v="0.194667640613587"/>
        <n v="0.290222727382651"/>
        <n v="0.251790737807617"/>
        <n v="0.228062953995157"/>
        <n v="0.214163359097556"/>
        <n v="0.192826069550829"/>
        <n v="0.269227124853921"/>
        <n v="0.211314323970664"/>
        <n v="0.167506375567581"/>
        <n v="0.245790415098995"/>
        <n v="0.124305445308779"/>
        <n v="0.245114629453627"/>
        <n v="0.205090063287716"/>
        <n v="0.160884194576286"/>
        <n v="0.199601875906745"/>
        <n v="0.0238820206170439"/>
        <n v="0.304331161364508"/>
        <n v="0.215464429604283"/>
        <n v="0.201065532646869"/>
        <n v="0.201109928048269"/>
        <n v="0.199313056896809"/>
        <n v="0.165304580729346"/>
        <n v="0.210697700758863"/>
        <n v="0.299756725311145"/>
        <n v="0.16030186715243"/>
        <n v="0.197565024903154"/>
        <n v="0.250588235294118"/>
        <n v="0.17046317388003"/>
        <n v="0.253014445461419"/>
        <n v="0.189183357905714"/>
        <n v="0.171446580523164"/>
        <n v="0.225705754614549"/>
        <n v="0.26787379546161"/>
        <n v="0.206298233801212"/>
        <n v="0.200374531835206"/>
        <n v="0.186613938218176"/>
        <n v="0.127345610875501"/>
        <n v="0.213949142903567"/>
        <n v="0.18114620104717"/>
        <n v="0.138663576670529"/>
        <n v="0.243686718284693"/>
        <n v="0.0431268386028047"/>
        <n v="0.245625766187451"/>
        <n v="0.238835593781012"/>
        <n v="0.19176180191299"/>
        <n v="0.241153659718856"/>
        <n v="0.251797153895056"/>
        <n v="0.243087506141957"/>
        <n v="0.162518372165868"/>
        <n v="0.240008980691513"/>
        <n v="0.219608770167248"/>
        <n v="0.23578634033405"/>
        <n v="0.285191859232563"/>
        <n v="0.224406326947957"/>
        <n v="0.226930963773069"/>
        <n v="0.219903002025907"/>
        <n v="0.205570917920011"/>
        <n v="0.28435566554711"/>
        <n v="0.220933241331723"/>
        <n v="0.197780571803422"/>
        <n v="0.20916234743354"/>
        <n v="0.210677083333333"/>
        <n v="0.125542736633172"/>
        <n v="0.139616775585306"/>
        <n v="0.0250315443945848"/>
        <n v="0.227279284477784"/>
        <n v="0.227964723850815"/>
        <n v="0.221744309158285"/>
        <n v="0.23164369695554"/>
        <n v="0.24091527644776"/>
        <n v="0.269247807211837"/>
        <n v="0.242888525882949"/>
        <n v="0.202168718985481"/>
        <n v="0.286248172019715"/>
        <n v="0.091827392578125"/>
        <n v="0.18904222734625"/>
        <n v="0.29780869044948"/>
        <n v="0.210317879395924"/>
        <n v="0.208036013600881"/>
        <n v="0.266535368455605"/>
        <n v="0.273116202042506"/>
        <n v="0.275162108824359"/>
        <n v="0.245539783826019"/>
        <n v="0.176232394366197"/>
        <n v="0.236509758897819"/>
        <n v="0.184798670114518"/>
        <n v="0.302650212421606"/>
        <n v="0.135484955454698"/>
        <n v="0.219029423003439"/>
        <n v="0.16718009478673"/>
        <n v="0.0836721041527299"/>
        <n v="0.209371709371709"/>
        <n v="0.302561930976075"/>
        <n v="0.360931689175964"/>
        <n v="0.277903897086644"/>
        <n v="0.105476424361493"/>
        <n v="0.166623823967919"/>
        <n v="0.236924726242438"/>
        <n v="0.112204847050028"/>
        <n v="0.0896466431095406"/>
        <n v="0.303248413675537"/>
        <n v="0.315504807692308"/>
        <n v="0.177709627955774"/>
        <n v="0.279706105903218"/>
        <n v="0.183489129293141"/>
        <n v="0.550151209677419"/>
        <n v="0.325199167444197"/>
        <n v="0.125071109305161"/>
        <n v="0.229836501603692"/>
        <n v="0.244461228600201"/>
        <n v="0.199875724937862"/>
        <n v="0.19341290893015"/>
        <n v="0.445103250868943"/>
        <n v="0.215475409836066"/>
        <n v="0.190051553573917"/>
        <n v="0.303634669151911"/>
        <n v="0.213024954351796"/>
        <n v="0.0670278308901636"/>
        <n v="0.206630780523611"/>
        <n v="0.175750693918748"/>
        <n v="0.21648"/>
        <n v="0.377316857899382"/>
        <n v="0.250173731758165"/>
        <n v="0.21166343632425"/>
        <n v="0.302294197031039"/>
        <n v="0.191181763647271"/>
        <n v="0.133203125"/>
        <n v="0.173705179282869"/>
        <n v="0.309267851080684"/>
        <n v="0.236171535114978"/>
        <n v="0.222784810126582"/>
        <n v="0.220674674163046"/>
        <n v="0.226734139718588"/>
        <n v="0.190963769153659"/>
        <n v="0.142783694454646"/>
        <n v="0.273286575612157"/>
        <n v="0.35377358490566"/>
        <n v="0.214820029921676"/>
        <n v="0.212039918446185"/>
        <n v="0.146980499957048"/>
        <n v="0.249690295939436"/>
        <n v="0.0554289849634137"/>
        <n v="0.168382481242366"/>
        <n v="0.331045094093976"/>
        <n v="0.318775375836717"/>
        <n v="0.147850611058884"/>
        <n v="0.101429356789445"/>
        <n v="0.283316086006669"/>
        <n v="0.189502593835825"/>
        <n v="0.172434915773354"/>
        <n v="0.207638409158196"/>
        <n v="0.196638207043757"/>
        <n v="0.210573237050905"/>
        <n v="0.0124475082406418"/>
        <n v="0.274000583600817"/>
        <n v="0.168561995597946"/>
        <n v="0.287644185804843"/>
        <n v="0.192425793244626"/>
        <n v="0.0856445529176836"/>
        <n v="0.273671022015393"/>
        <n v="0.162348466840979"/>
        <n v="0.282625482625483"/>
        <n v="0.252208047105005"/>
        <n v="0.262471395881007"/>
        <n v="0.108470678420851"/>
        <n v="0.214189416919447"/>
        <n v="0.270685084414678"/>
        <n v="0.296605390774783"/>
        <n v="0.228711256117455"/>
        <n v="0.11841949603691"/>
        <n v="0.309548254620123"/>
        <n v="0.21571750962432"/>
        <n v="0.266821345707657"/>
        <n v="0.277342695112071"/>
        <n v="0.387640449438202"/>
        <n v="0.183186411524403"/>
        <n v="0.134651600753296"/>
        <n v="0.354596622889306"/>
        <n v="0.107088989441931"/>
        <n v="0.239623865110246"/>
        <n v="0.234507615393559"/>
        <n v="0.0975304782744608"/>
        <n v="0.199065420560748"/>
        <n v="0.302430243024302"/>
        <n v="0.265882352941176"/>
        <n v="0.192888455918169"/>
        <n v="0.222684703433923"/>
        <n v="0.274748923959828"/>
        <n v="0.125253036437247"/>
        <n v="0.22578779994218"/>
        <n v="0.433460076045627"/>
        <n v="0.153371529308065"/>
        <n v="0.206755753526355"/>
        <n v="0.176712841632347"/>
        <n v="0.181205225453013"/>
        <n v="0.20343137254902"/>
        <n v="0.205128205128205"/>
        <n v="0.174951581665591"/>
        <n v="0.204554226167503"/>
        <n v="0.00892669607225373"/>
        <n v="0.0361424541607898"/>
        <n v="0.263909404234367"/>
        <n v="0.169491525423729"/>
        <n v="0.176470588235294"/>
        <n v="0.260325406758448"/>
        <n v="0.193518518518519"/>
        <n v="0.327160493827161"/>
        <n v="0.238095238095238"/>
        <n v="0.391304347826087"/>
        <n v="0.17815344603381"/>
        <n v="0.151582045621781"/>
        <n v="0.0107636939941229"/>
        <n v="0.211045364891519"/>
        <n v="0.00135639199728722"/>
        <n v="0.165266106442577"/>
        <n v="0.138211382113821"/>
        <n v="0.187689969604863"/>
        <n v="0.096875"/>
        <n v="0.262150220913108"/>
        <n v="0.100072516316171"/>
        <n v="0.150473933649289"/>
        <n v="0.175166297117517"/>
        <n v="0.271828665568369"/>
        <n v="0.116071428571429"/>
        <n v="0.177350427350427"/>
        <n v="0.235955056179775"/>
        <n v="0.00552260175905093"/>
        <n v="0.257217847769029"/>
        <n v="0.070323488045007"/>
        <n v="0.150997150997151"/>
        <n v="0.101923076923077"/>
        <n v="0.174957118353345"/>
        <n v="0.0770465489566613"/>
        <n v="0.148936170212766"/>
        <n v="0.0308285163776493"/>
        <n v="0.381443298969072"/>
        <n v="0.0669781931464174"/>
        <n v="0.0711009174311927"/>
        <n v="0.0391644908616188"/>
        <n v="0.0755813953488372"/>
        <n v="0.0342465753424658"/>
        <n v="0.127423822714681"/>
        <n v="0.00390625"/>
        <n v="0.0363636363636364"/>
        <n v="0.100334448160535"/>
        <n v="0.0234113712374582"/>
        <n v="0.229166666666667"/>
        <n v="0.107142857142857"/>
        <n v="0.00975609756097561"/>
        <n v="0.0555555555555556"/>
        <n v="0.114503816793893"/>
        <n v="0.0714285714285714"/>
        <n v="0.0612244897959184"/>
        <n v="0.0526315789473684"/>
        <n v="0.0416666666666667"/>
        <n v="0.0373831775700935"/>
        <n v="0.0392156862745098"/>
        <n v="0.0317796610169492"/>
        <n v="0.175"/>
        <n v="0.19047619047619"/>
        <n v="0.00282849061455387"/>
        <n v="0.15625"/>
        <n v="0.0702702702702703"/>
        <n v="0.0727272727272727"/>
        <n v="0.0769230769230769"/>
        <n v="0.0355555555555556"/>
        <n v="0.00483091787439614"/>
        <n v="0.162162162162162"/>
        <n v="0.104895104895105"/>
        <n v="0.0106382978723404"/>
        <n v="0.0238095238095238"/>
        <n v="0.025"/>
        <n v="0.102941176470588"/>
        <n v="0.103448275862069"/>
        <n v="0.0888888888888889"/>
        <n v="0.0222222222222222"/>
        <n v="0.0384615384615385"/>
        <n v="0.0344827586206897"/>
        <n v="0.00467289719626168"/>
        <n v="0.0740740740740741"/>
        <n v="0.0666666666666667"/>
        <n v="0.04"/>
        <n v="0.05"/>
        <n v="0.0978260869565217"/>
        <n v="0.133333333333333"/>
        <n v="0.0754716981132076"/>
        <n v="0.0645161290322581"/>
        <n v="0.0444444444444444"/>
        <n v="0.0053475935828877"/>
        <n v="0.0697674418604651"/>
        <n v="0.0425531914893617"/>
        <n v="0.0303030303030303"/>
        <n v="0.027027027027027"/>
        <n v="0.00568181818181818"/>
        <n v="0.02"/>
        <n v="0.00694444444444444"/>
        <n v="0.0117647058823529"/>
        <n v="0.0285714285714286"/>
        <n v="0.4"/>
        <n v="0.1"/>
        <n v="0.032258064516129"/>
        <n v="0.0512820512820513"/>
        <n v="0.0263157894736842"/>
        <n v="0.0606060606060606"/>
        <n v="0.0294117647058824"/>
        <n v="0.0952380952380952"/>
        <n v="0.125"/>
        <n v="0.0454545454545455"/>
        <n v="0.00769230769230769"/>
        <n v="0.03125"/>
        <n v="0.0126582278481013"/>
        <n v="0.0434782608695652"/>
        <n v="0.0571428571428571"/>
        <n v="0.137931034482759"/>
        <n v="0.142857142857143"/>
        <n v="0.037037037037037"/>
        <n v="0.0333333333333333"/>
        <n v="0.0833333333333333"/>
        <n v="0.00952380952380953"/>
        <n v="0.105263157894737"/>
        <n v="0.00515463917525773"/>
        <n v="0.0144927536231884"/>
        <n v="0.0169491525423729"/>
        <n v="0.0465116279069767"/>
        <n v="0.00226244343891403"/>
        <n v="0.00925925925925926"/>
        <n v="0.00434782608695652"/>
        <n v="0.00961538461538462"/>
        <n v="0.333333333333333"/>
        <n v="0.003125"/>
        <n v="0.00264550264550265"/>
        <n v="0.00275482093663912"/>
        <n v="0.0357142857142857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1"/>
    <x v="1"/>
    <x v="1"/>
    <x v="1"/>
    <x v="1"/>
    <x v="1"/>
    <x v="1"/>
    <x v="1"/>
    <x v="0"/>
    <x v="0"/>
    <x v="1"/>
    <x v="1"/>
    <x v="1"/>
    <x v="1"/>
    <x v="1"/>
    <x v="1"/>
    <x v="1"/>
  </r>
  <r>
    <x v="0"/>
    <x v="2"/>
    <x v="2"/>
    <x v="0"/>
    <x v="0"/>
    <x v="1"/>
    <x v="2"/>
    <x v="2"/>
    <x v="2"/>
    <x v="2"/>
    <x v="2"/>
    <x v="2"/>
    <x v="2"/>
    <x v="0"/>
    <x v="0"/>
    <x v="2"/>
    <x v="2"/>
    <x v="2"/>
    <x v="2"/>
    <x v="2"/>
    <x v="2"/>
    <x v="2"/>
  </r>
  <r>
    <x v="0"/>
    <x v="3"/>
    <x v="3"/>
    <x v="0"/>
    <x v="0"/>
    <x v="2"/>
    <x v="3"/>
    <x v="3"/>
    <x v="3"/>
    <x v="3"/>
    <x v="3"/>
    <x v="3"/>
    <x v="3"/>
    <x v="0"/>
    <x v="0"/>
    <x v="3"/>
    <x v="3"/>
    <x v="3"/>
    <x v="3"/>
    <x v="0"/>
    <x v="0"/>
    <x v="0"/>
  </r>
  <r>
    <x v="0"/>
    <x v="4"/>
    <x v="4"/>
    <x v="0"/>
    <x v="0"/>
    <x v="1"/>
    <x v="4"/>
    <x v="4"/>
    <x v="4"/>
    <x v="4"/>
    <x v="4"/>
    <x v="4"/>
    <x v="4"/>
    <x v="0"/>
    <x v="0"/>
    <x v="4"/>
    <x v="4"/>
    <x v="4"/>
    <x v="4"/>
    <x v="3"/>
    <x v="3"/>
    <x v="3"/>
  </r>
  <r>
    <x v="0"/>
    <x v="5"/>
    <x v="5"/>
    <x v="0"/>
    <x v="0"/>
    <x v="2"/>
    <x v="5"/>
    <x v="5"/>
    <x v="5"/>
    <x v="5"/>
    <x v="5"/>
    <x v="5"/>
    <x v="5"/>
    <x v="0"/>
    <x v="0"/>
    <x v="5"/>
    <x v="5"/>
    <x v="5"/>
    <x v="5"/>
    <x v="0"/>
    <x v="0"/>
    <x v="0"/>
  </r>
  <r>
    <x v="0"/>
    <x v="6"/>
    <x v="6"/>
    <x v="0"/>
    <x v="0"/>
    <x v="1"/>
    <x v="6"/>
    <x v="6"/>
    <x v="6"/>
    <x v="6"/>
    <x v="6"/>
    <x v="6"/>
    <x v="6"/>
    <x v="0"/>
    <x v="0"/>
    <x v="6"/>
    <x v="6"/>
    <x v="6"/>
    <x v="6"/>
    <x v="4"/>
    <x v="4"/>
    <x v="4"/>
  </r>
  <r>
    <x v="0"/>
    <x v="7"/>
    <x v="7"/>
    <x v="0"/>
    <x v="0"/>
    <x v="3"/>
    <x v="7"/>
    <x v="7"/>
    <x v="7"/>
    <x v="7"/>
    <x v="7"/>
    <x v="7"/>
    <x v="7"/>
    <x v="1"/>
    <x v="1"/>
    <x v="7"/>
    <x v="7"/>
    <x v="7"/>
    <x v="7"/>
    <x v="5"/>
    <x v="5"/>
    <x v="5"/>
  </r>
  <r>
    <x v="0"/>
    <x v="8"/>
    <x v="8"/>
    <x v="0"/>
    <x v="0"/>
    <x v="1"/>
    <x v="8"/>
    <x v="8"/>
    <x v="8"/>
    <x v="8"/>
    <x v="8"/>
    <x v="8"/>
    <x v="8"/>
    <x v="0"/>
    <x v="0"/>
    <x v="8"/>
    <x v="8"/>
    <x v="8"/>
    <x v="8"/>
    <x v="6"/>
    <x v="6"/>
    <x v="6"/>
  </r>
  <r>
    <x v="0"/>
    <x v="9"/>
    <x v="9"/>
    <x v="0"/>
    <x v="0"/>
    <x v="4"/>
    <x v="9"/>
    <x v="9"/>
    <x v="9"/>
    <x v="9"/>
    <x v="9"/>
    <x v="9"/>
    <x v="9"/>
    <x v="0"/>
    <x v="0"/>
    <x v="9"/>
    <x v="9"/>
    <x v="9"/>
    <x v="9"/>
    <x v="7"/>
    <x v="7"/>
    <x v="7"/>
  </r>
  <r>
    <x v="0"/>
    <x v="10"/>
    <x v="10"/>
    <x v="0"/>
    <x v="0"/>
    <x v="4"/>
    <x v="10"/>
    <x v="10"/>
    <x v="10"/>
    <x v="10"/>
    <x v="10"/>
    <x v="10"/>
    <x v="10"/>
    <x v="0"/>
    <x v="0"/>
    <x v="10"/>
    <x v="10"/>
    <x v="10"/>
    <x v="10"/>
    <x v="0"/>
    <x v="0"/>
    <x v="0"/>
  </r>
  <r>
    <x v="0"/>
    <x v="11"/>
    <x v="11"/>
    <x v="0"/>
    <x v="0"/>
    <x v="1"/>
    <x v="11"/>
    <x v="11"/>
    <x v="11"/>
    <x v="11"/>
    <x v="11"/>
    <x v="11"/>
    <x v="11"/>
    <x v="0"/>
    <x v="0"/>
    <x v="11"/>
    <x v="11"/>
    <x v="11"/>
    <x v="11"/>
    <x v="8"/>
    <x v="8"/>
    <x v="8"/>
  </r>
  <r>
    <x v="0"/>
    <x v="12"/>
    <x v="12"/>
    <x v="0"/>
    <x v="0"/>
    <x v="0"/>
    <x v="12"/>
    <x v="12"/>
    <x v="12"/>
    <x v="12"/>
    <x v="12"/>
    <x v="12"/>
    <x v="12"/>
    <x v="0"/>
    <x v="0"/>
    <x v="12"/>
    <x v="12"/>
    <x v="12"/>
    <x v="12"/>
    <x v="9"/>
    <x v="9"/>
    <x v="9"/>
  </r>
  <r>
    <x v="0"/>
    <x v="13"/>
    <x v="13"/>
    <x v="0"/>
    <x v="0"/>
    <x v="1"/>
    <x v="13"/>
    <x v="13"/>
    <x v="13"/>
    <x v="13"/>
    <x v="13"/>
    <x v="13"/>
    <x v="13"/>
    <x v="0"/>
    <x v="0"/>
    <x v="13"/>
    <x v="13"/>
    <x v="13"/>
    <x v="13"/>
    <x v="10"/>
    <x v="10"/>
    <x v="10"/>
  </r>
  <r>
    <x v="0"/>
    <x v="14"/>
    <x v="14"/>
    <x v="0"/>
    <x v="0"/>
    <x v="1"/>
    <x v="14"/>
    <x v="14"/>
    <x v="14"/>
    <x v="14"/>
    <x v="14"/>
    <x v="14"/>
    <x v="14"/>
    <x v="0"/>
    <x v="0"/>
    <x v="14"/>
    <x v="14"/>
    <x v="14"/>
    <x v="14"/>
    <x v="11"/>
    <x v="11"/>
    <x v="11"/>
  </r>
  <r>
    <x v="0"/>
    <x v="15"/>
    <x v="15"/>
    <x v="0"/>
    <x v="0"/>
    <x v="0"/>
    <x v="15"/>
    <x v="15"/>
    <x v="15"/>
    <x v="15"/>
    <x v="15"/>
    <x v="15"/>
    <x v="15"/>
    <x v="0"/>
    <x v="0"/>
    <x v="15"/>
    <x v="15"/>
    <x v="15"/>
    <x v="15"/>
    <x v="12"/>
    <x v="12"/>
    <x v="12"/>
  </r>
  <r>
    <x v="0"/>
    <x v="16"/>
    <x v="16"/>
    <x v="0"/>
    <x v="0"/>
    <x v="0"/>
    <x v="16"/>
    <x v="16"/>
    <x v="16"/>
    <x v="16"/>
    <x v="16"/>
    <x v="16"/>
    <x v="16"/>
    <x v="0"/>
    <x v="0"/>
    <x v="16"/>
    <x v="16"/>
    <x v="16"/>
    <x v="16"/>
    <x v="13"/>
    <x v="13"/>
    <x v="13"/>
  </r>
  <r>
    <x v="0"/>
    <x v="17"/>
    <x v="17"/>
    <x v="0"/>
    <x v="0"/>
    <x v="1"/>
    <x v="17"/>
    <x v="17"/>
    <x v="17"/>
    <x v="17"/>
    <x v="17"/>
    <x v="17"/>
    <x v="17"/>
    <x v="0"/>
    <x v="0"/>
    <x v="17"/>
    <x v="17"/>
    <x v="17"/>
    <x v="17"/>
    <x v="14"/>
    <x v="14"/>
    <x v="14"/>
  </r>
  <r>
    <x v="0"/>
    <x v="18"/>
    <x v="18"/>
    <x v="0"/>
    <x v="0"/>
    <x v="1"/>
    <x v="18"/>
    <x v="18"/>
    <x v="18"/>
    <x v="18"/>
    <x v="18"/>
    <x v="18"/>
    <x v="18"/>
    <x v="0"/>
    <x v="0"/>
    <x v="18"/>
    <x v="18"/>
    <x v="18"/>
    <x v="18"/>
    <x v="15"/>
    <x v="15"/>
    <x v="15"/>
  </r>
  <r>
    <x v="0"/>
    <x v="19"/>
    <x v="19"/>
    <x v="0"/>
    <x v="0"/>
    <x v="1"/>
    <x v="19"/>
    <x v="19"/>
    <x v="19"/>
    <x v="19"/>
    <x v="19"/>
    <x v="19"/>
    <x v="19"/>
    <x v="0"/>
    <x v="0"/>
    <x v="19"/>
    <x v="19"/>
    <x v="19"/>
    <x v="19"/>
    <x v="16"/>
    <x v="16"/>
    <x v="16"/>
  </r>
  <r>
    <x v="0"/>
    <x v="20"/>
    <x v="20"/>
    <x v="0"/>
    <x v="0"/>
    <x v="1"/>
    <x v="20"/>
    <x v="20"/>
    <x v="20"/>
    <x v="20"/>
    <x v="20"/>
    <x v="20"/>
    <x v="20"/>
    <x v="0"/>
    <x v="0"/>
    <x v="20"/>
    <x v="20"/>
    <x v="20"/>
    <x v="20"/>
    <x v="17"/>
    <x v="17"/>
    <x v="17"/>
  </r>
  <r>
    <x v="0"/>
    <x v="21"/>
    <x v="21"/>
    <x v="0"/>
    <x v="0"/>
    <x v="1"/>
    <x v="21"/>
    <x v="21"/>
    <x v="21"/>
    <x v="21"/>
    <x v="21"/>
    <x v="21"/>
    <x v="21"/>
    <x v="0"/>
    <x v="0"/>
    <x v="21"/>
    <x v="21"/>
    <x v="21"/>
    <x v="21"/>
    <x v="18"/>
    <x v="18"/>
    <x v="18"/>
  </r>
  <r>
    <x v="0"/>
    <x v="22"/>
    <x v="22"/>
    <x v="0"/>
    <x v="0"/>
    <x v="4"/>
    <x v="22"/>
    <x v="22"/>
    <x v="22"/>
    <x v="22"/>
    <x v="22"/>
    <x v="22"/>
    <x v="22"/>
    <x v="0"/>
    <x v="0"/>
    <x v="22"/>
    <x v="22"/>
    <x v="22"/>
    <x v="22"/>
    <x v="0"/>
    <x v="0"/>
    <x v="0"/>
  </r>
  <r>
    <x v="0"/>
    <x v="23"/>
    <x v="23"/>
    <x v="0"/>
    <x v="0"/>
    <x v="1"/>
    <x v="23"/>
    <x v="23"/>
    <x v="23"/>
    <x v="23"/>
    <x v="23"/>
    <x v="23"/>
    <x v="23"/>
    <x v="0"/>
    <x v="0"/>
    <x v="23"/>
    <x v="23"/>
    <x v="23"/>
    <x v="23"/>
    <x v="19"/>
    <x v="19"/>
    <x v="19"/>
  </r>
  <r>
    <x v="0"/>
    <x v="24"/>
    <x v="24"/>
    <x v="0"/>
    <x v="0"/>
    <x v="1"/>
    <x v="24"/>
    <x v="24"/>
    <x v="24"/>
    <x v="24"/>
    <x v="24"/>
    <x v="24"/>
    <x v="24"/>
    <x v="0"/>
    <x v="0"/>
    <x v="24"/>
    <x v="24"/>
    <x v="24"/>
    <x v="24"/>
    <x v="20"/>
    <x v="20"/>
    <x v="20"/>
  </r>
  <r>
    <x v="0"/>
    <x v="25"/>
    <x v="25"/>
    <x v="0"/>
    <x v="0"/>
    <x v="1"/>
    <x v="25"/>
    <x v="25"/>
    <x v="25"/>
    <x v="25"/>
    <x v="25"/>
    <x v="25"/>
    <x v="25"/>
    <x v="0"/>
    <x v="0"/>
    <x v="25"/>
    <x v="25"/>
    <x v="25"/>
    <x v="25"/>
    <x v="21"/>
    <x v="21"/>
    <x v="21"/>
  </r>
  <r>
    <x v="0"/>
    <x v="26"/>
    <x v="26"/>
    <x v="0"/>
    <x v="0"/>
    <x v="1"/>
    <x v="26"/>
    <x v="26"/>
    <x v="26"/>
    <x v="26"/>
    <x v="26"/>
    <x v="26"/>
    <x v="26"/>
    <x v="0"/>
    <x v="0"/>
    <x v="26"/>
    <x v="26"/>
    <x v="26"/>
    <x v="26"/>
    <x v="22"/>
    <x v="22"/>
    <x v="22"/>
  </r>
  <r>
    <x v="0"/>
    <x v="27"/>
    <x v="27"/>
    <x v="0"/>
    <x v="0"/>
    <x v="5"/>
    <x v="27"/>
    <x v="27"/>
    <x v="27"/>
    <x v="27"/>
    <x v="27"/>
    <x v="27"/>
    <x v="27"/>
    <x v="2"/>
    <x v="2"/>
    <x v="27"/>
    <x v="27"/>
    <x v="27"/>
    <x v="27"/>
    <x v="23"/>
    <x v="23"/>
    <x v="23"/>
  </r>
  <r>
    <x v="0"/>
    <x v="28"/>
    <x v="28"/>
    <x v="0"/>
    <x v="0"/>
    <x v="1"/>
    <x v="28"/>
    <x v="28"/>
    <x v="28"/>
    <x v="28"/>
    <x v="28"/>
    <x v="28"/>
    <x v="28"/>
    <x v="0"/>
    <x v="0"/>
    <x v="28"/>
    <x v="28"/>
    <x v="28"/>
    <x v="28"/>
    <x v="24"/>
    <x v="24"/>
    <x v="24"/>
  </r>
  <r>
    <x v="0"/>
    <x v="29"/>
    <x v="29"/>
    <x v="0"/>
    <x v="0"/>
    <x v="1"/>
    <x v="29"/>
    <x v="29"/>
    <x v="29"/>
    <x v="29"/>
    <x v="29"/>
    <x v="29"/>
    <x v="29"/>
    <x v="0"/>
    <x v="0"/>
    <x v="29"/>
    <x v="29"/>
    <x v="29"/>
    <x v="29"/>
    <x v="25"/>
    <x v="25"/>
    <x v="25"/>
  </r>
  <r>
    <x v="0"/>
    <x v="30"/>
    <x v="30"/>
    <x v="0"/>
    <x v="0"/>
    <x v="1"/>
    <x v="30"/>
    <x v="30"/>
    <x v="30"/>
    <x v="30"/>
    <x v="30"/>
    <x v="30"/>
    <x v="30"/>
    <x v="0"/>
    <x v="0"/>
    <x v="30"/>
    <x v="30"/>
    <x v="30"/>
    <x v="30"/>
    <x v="26"/>
    <x v="26"/>
    <x v="26"/>
  </r>
  <r>
    <x v="0"/>
    <x v="31"/>
    <x v="31"/>
    <x v="0"/>
    <x v="0"/>
    <x v="4"/>
    <x v="31"/>
    <x v="31"/>
    <x v="31"/>
    <x v="31"/>
    <x v="31"/>
    <x v="31"/>
    <x v="31"/>
    <x v="0"/>
    <x v="0"/>
    <x v="31"/>
    <x v="31"/>
    <x v="31"/>
    <x v="31"/>
    <x v="27"/>
    <x v="27"/>
    <x v="27"/>
  </r>
  <r>
    <x v="0"/>
    <x v="32"/>
    <x v="32"/>
    <x v="0"/>
    <x v="0"/>
    <x v="1"/>
    <x v="32"/>
    <x v="32"/>
    <x v="32"/>
    <x v="32"/>
    <x v="32"/>
    <x v="32"/>
    <x v="32"/>
    <x v="0"/>
    <x v="0"/>
    <x v="32"/>
    <x v="32"/>
    <x v="32"/>
    <x v="32"/>
    <x v="28"/>
    <x v="28"/>
    <x v="28"/>
  </r>
  <r>
    <x v="0"/>
    <x v="33"/>
    <x v="33"/>
    <x v="0"/>
    <x v="0"/>
    <x v="1"/>
    <x v="33"/>
    <x v="33"/>
    <x v="33"/>
    <x v="33"/>
    <x v="33"/>
    <x v="33"/>
    <x v="33"/>
    <x v="0"/>
    <x v="0"/>
    <x v="33"/>
    <x v="33"/>
    <x v="33"/>
    <x v="33"/>
    <x v="29"/>
    <x v="29"/>
    <x v="29"/>
  </r>
  <r>
    <x v="0"/>
    <x v="34"/>
    <x v="34"/>
    <x v="0"/>
    <x v="0"/>
    <x v="1"/>
    <x v="34"/>
    <x v="34"/>
    <x v="34"/>
    <x v="34"/>
    <x v="34"/>
    <x v="34"/>
    <x v="34"/>
    <x v="0"/>
    <x v="0"/>
    <x v="34"/>
    <x v="34"/>
    <x v="34"/>
    <x v="34"/>
    <x v="30"/>
    <x v="30"/>
    <x v="30"/>
  </r>
  <r>
    <x v="0"/>
    <x v="35"/>
    <x v="35"/>
    <x v="0"/>
    <x v="0"/>
    <x v="0"/>
    <x v="35"/>
    <x v="35"/>
    <x v="35"/>
    <x v="35"/>
    <x v="35"/>
    <x v="35"/>
    <x v="35"/>
    <x v="0"/>
    <x v="0"/>
    <x v="35"/>
    <x v="35"/>
    <x v="35"/>
    <x v="35"/>
    <x v="31"/>
    <x v="31"/>
    <x v="31"/>
  </r>
  <r>
    <x v="0"/>
    <x v="36"/>
    <x v="36"/>
    <x v="0"/>
    <x v="0"/>
    <x v="1"/>
    <x v="36"/>
    <x v="36"/>
    <x v="36"/>
    <x v="36"/>
    <x v="36"/>
    <x v="36"/>
    <x v="36"/>
    <x v="0"/>
    <x v="0"/>
    <x v="36"/>
    <x v="36"/>
    <x v="36"/>
    <x v="36"/>
    <x v="32"/>
    <x v="32"/>
    <x v="32"/>
  </r>
  <r>
    <x v="0"/>
    <x v="37"/>
    <x v="37"/>
    <x v="0"/>
    <x v="0"/>
    <x v="1"/>
    <x v="37"/>
    <x v="37"/>
    <x v="37"/>
    <x v="37"/>
    <x v="37"/>
    <x v="37"/>
    <x v="37"/>
    <x v="0"/>
    <x v="0"/>
    <x v="37"/>
    <x v="37"/>
    <x v="37"/>
    <x v="37"/>
    <x v="33"/>
    <x v="33"/>
    <x v="33"/>
  </r>
  <r>
    <x v="0"/>
    <x v="38"/>
    <x v="38"/>
    <x v="0"/>
    <x v="0"/>
    <x v="1"/>
    <x v="38"/>
    <x v="38"/>
    <x v="38"/>
    <x v="38"/>
    <x v="38"/>
    <x v="38"/>
    <x v="38"/>
    <x v="0"/>
    <x v="0"/>
    <x v="38"/>
    <x v="38"/>
    <x v="38"/>
    <x v="38"/>
    <x v="34"/>
    <x v="34"/>
    <x v="34"/>
  </r>
  <r>
    <x v="0"/>
    <x v="39"/>
    <x v="39"/>
    <x v="0"/>
    <x v="0"/>
    <x v="1"/>
    <x v="39"/>
    <x v="39"/>
    <x v="39"/>
    <x v="39"/>
    <x v="39"/>
    <x v="39"/>
    <x v="39"/>
    <x v="0"/>
    <x v="0"/>
    <x v="39"/>
    <x v="39"/>
    <x v="39"/>
    <x v="39"/>
    <x v="35"/>
    <x v="35"/>
    <x v="35"/>
  </r>
  <r>
    <x v="0"/>
    <x v="40"/>
    <x v="40"/>
    <x v="0"/>
    <x v="0"/>
    <x v="4"/>
    <x v="40"/>
    <x v="40"/>
    <x v="40"/>
    <x v="40"/>
    <x v="40"/>
    <x v="40"/>
    <x v="40"/>
    <x v="0"/>
    <x v="0"/>
    <x v="40"/>
    <x v="40"/>
    <x v="40"/>
    <x v="40"/>
    <x v="36"/>
    <x v="36"/>
    <x v="36"/>
  </r>
  <r>
    <x v="0"/>
    <x v="41"/>
    <x v="41"/>
    <x v="0"/>
    <x v="0"/>
    <x v="1"/>
    <x v="41"/>
    <x v="41"/>
    <x v="41"/>
    <x v="41"/>
    <x v="41"/>
    <x v="41"/>
    <x v="41"/>
    <x v="0"/>
    <x v="0"/>
    <x v="41"/>
    <x v="41"/>
    <x v="41"/>
    <x v="41"/>
    <x v="37"/>
    <x v="37"/>
    <x v="37"/>
  </r>
  <r>
    <x v="0"/>
    <x v="42"/>
    <x v="42"/>
    <x v="0"/>
    <x v="0"/>
    <x v="3"/>
    <x v="42"/>
    <x v="42"/>
    <x v="42"/>
    <x v="42"/>
    <x v="42"/>
    <x v="42"/>
    <x v="42"/>
    <x v="3"/>
    <x v="3"/>
    <x v="42"/>
    <x v="42"/>
    <x v="42"/>
    <x v="42"/>
    <x v="38"/>
    <x v="38"/>
    <x v="38"/>
  </r>
  <r>
    <x v="0"/>
    <x v="43"/>
    <x v="43"/>
    <x v="0"/>
    <x v="0"/>
    <x v="0"/>
    <x v="43"/>
    <x v="43"/>
    <x v="43"/>
    <x v="43"/>
    <x v="43"/>
    <x v="43"/>
    <x v="43"/>
    <x v="0"/>
    <x v="0"/>
    <x v="43"/>
    <x v="43"/>
    <x v="43"/>
    <x v="43"/>
    <x v="39"/>
    <x v="39"/>
    <x v="39"/>
  </r>
  <r>
    <x v="0"/>
    <x v="44"/>
    <x v="44"/>
    <x v="0"/>
    <x v="0"/>
    <x v="1"/>
    <x v="44"/>
    <x v="44"/>
    <x v="44"/>
    <x v="44"/>
    <x v="44"/>
    <x v="44"/>
    <x v="44"/>
    <x v="0"/>
    <x v="0"/>
    <x v="44"/>
    <x v="44"/>
    <x v="44"/>
    <x v="44"/>
    <x v="40"/>
    <x v="40"/>
    <x v="40"/>
  </r>
  <r>
    <x v="0"/>
    <x v="45"/>
    <x v="45"/>
    <x v="0"/>
    <x v="0"/>
    <x v="4"/>
    <x v="45"/>
    <x v="45"/>
    <x v="45"/>
    <x v="45"/>
    <x v="45"/>
    <x v="45"/>
    <x v="45"/>
    <x v="0"/>
    <x v="0"/>
    <x v="45"/>
    <x v="45"/>
    <x v="45"/>
    <x v="45"/>
    <x v="41"/>
    <x v="41"/>
    <x v="41"/>
  </r>
  <r>
    <x v="0"/>
    <x v="46"/>
    <x v="46"/>
    <x v="0"/>
    <x v="0"/>
    <x v="1"/>
    <x v="46"/>
    <x v="46"/>
    <x v="46"/>
    <x v="46"/>
    <x v="46"/>
    <x v="46"/>
    <x v="46"/>
    <x v="0"/>
    <x v="0"/>
    <x v="46"/>
    <x v="46"/>
    <x v="46"/>
    <x v="46"/>
    <x v="42"/>
    <x v="42"/>
    <x v="42"/>
  </r>
  <r>
    <x v="0"/>
    <x v="47"/>
    <x v="47"/>
    <x v="0"/>
    <x v="0"/>
    <x v="1"/>
    <x v="47"/>
    <x v="47"/>
    <x v="47"/>
    <x v="47"/>
    <x v="47"/>
    <x v="47"/>
    <x v="47"/>
    <x v="0"/>
    <x v="0"/>
    <x v="47"/>
    <x v="47"/>
    <x v="47"/>
    <x v="47"/>
    <x v="43"/>
    <x v="43"/>
    <x v="43"/>
  </r>
  <r>
    <x v="0"/>
    <x v="48"/>
    <x v="48"/>
    <x v="0"/>
    <x v="0"/>
    <x v="1"/>
    <x v="48"/>
    <x v="48"/>
    <x v="48"/>
    <x v="48"/>
    <x v="48"/>
    <x v="48"/>
    <x v="48"/>
    <x v="0"/>
    <x v="0"/>
    <x v="48"/>
    <x v="48"/>
    <x v="48"/>
    <x v="48"/>
    <x v="44"/>
    <x v="44"/>
    <x v="44"/>
  </r>
  <r>
    <x v="0"/>
    <x v="49"/>
    <x v="49"/>
    <x v="0"/>
    <x v="0"/>
    <x v="1"/>
    <x v="49"/>
    <x v="49"/>
    <x v="49"/>
    <x v="49"/>
    <x v="49"/>
    <x v="49"/>
    <x v="49"/>
    <x v="0"/>
    <x v="0"/>
    <x v="49"/>
    <x v="49"/>
    <x v="49"/>
    <x v="49"/>
    <x v="45"/>
    <x v="45"/>
    <x v="45"/>
  </r>
  <r>
    <x v="0"/>
    <x v="50"/>
    <x v="50"/>
    <x v="0"/>
    <x v="0"/>
    <x v="0"/>
    <x v="50"/>
    <x v="50"/>
    <x v="50"/>
    <x v="50"/>
    <x v="50"/>
    <x v="50"/>
    <x v="50"/>
    <x v="0"/>
    <x v="0"/>
    <x v="50"/>
    <x v="50"/>
    <x v="50"/>
    <x v="50"/>
    <x v="46"/>
    <x v="46"/>
    <x v="46"/>
  </r>
  <r>
    <x v="0"/>
    <x v="51"/>
    <x v="51"/>
    <x v="0"/>
    <x v="0"/>
    <x v="4"/>
    <x v="51"/>
    <x v="51"/>
    <x v="51"/>
    <x v="51"/>
    <x v="51"/>
    <x v="51"/>
    <x v="51"/>
    <x v="0"/>
    <x v="0"/>
    <x v="51"/>
    <x v="51"/>
    <x v="51"/>
    <x v="51"/>
    <x v="47"/>
    <x v="47"/>
    <x v="47"/>
  </r>
  <r>
    <x v="0"/>
    <x v="52"/>
    <x v="52"/>
    <x v="0"/>
    <x v="0"/>
    <x v="1"/>
    <x v="52"/>
    <x v="52"/>
    <x v="52"/>
    <x v="52"/>
    <x v="52"/>
    <x v="52"/>
    <x v="52"/>
    <x v="0"/>
    <x v="0"/>
    <x v="52"/>
    <x v="52"/>
    <x v="52"/>
    <x v="52"/>
    <x v="48"/>
    <x v="48"/>
    <x v="48"/>
  </r>
  <r>
    <x v="0"/>
    <x v="53"/>
    <x v="53"/>
    <x v="0"/>
    <x v="0"/>
    <x v="1"/>
    <x v="53"/>
    <x v="53"/>
    <x v="53"/>
    <x v="53"/>
    <x v="53"/>
    <x v="53"/>
    <x v="53"/>
    <x v="0"/>
    <x v="0"/>
    <x v="53"/>
    <x v="53"/>
    <x v="53"/>
    <x v="53"/>
    <x v="49"/>
    <x v="49"/>
    <x v="49"/>
  </r>
  <r>
    <x v="0"/>
    <x v="54"/>
    <x v="54"/>
    <x v="0"/>
    <x v="0"/>
    <x v="1"/>
    <x v="54"/>
    <x v="54"/>
    <x v="54"/>
    <x v="54"/>
    <x v="54"/>
    <x v="54"/>
    <x v="54"/>
    <x v="0"/>
    <x v="0"/>
    <x v="54"/>
    <x v="54"/>
    <x v="54"/>
    <x v="54"/>
    <x v="50"/>
    <x v="50"/>
    <x v="50"/>
  </r>
  <r>
    <x v="0"/>
    <x v="55"/>
    <x v="55"/>
    <x v="0"/>
    <x v="0"/>
    <x v="4"/>
    <x v="55"/>
    <x v="55"/>
    <x v="55"/>
    <x v="55"/>
    <x v="55"/>
    <x v="55"/>
    <x v="55"/>
    <x v="0"/>
    <x v="0"/>
    <x v="55"/>
    <x v="55"/>
    <x v="55"/>
    <x v="55"/>
    <x v="51"/>
    <x v="51"/>
    <x v="51"/>
  </r>
  <r>
    <x v="0"/>
    <x v="56"/>
    <x v="56"/>
    <x v="0"/>
    <x v="0"/>
    <x v="4"/>
    <x v="56"/>
    <x v="56"/>
    <x v="56"/>
    <x v="56"/>
    <x v="56"/>
    <x v="56"/>
    <x v="56"/>
    <x v="0"/>
    <x v="0"/>
    <x v="56"/>
    <x v="56"/>
    <x v="56"/>
    <x v="56"/>
    <x v="52"/>
    <x v="52"/>
    <x v="52"/>
  </r>
  <r>
    <x v="0"/>
    <x v="57"/>
    <x v="57"/>
    <x v="0"/>
    <x v="0"/>
    <x v="6"/>
    <x v="57"/>
    <x v="57"/>
    <x v="57"/>
    <x v="57"/>
    <x v="57"/>
    <x v="57"/>
    <x v="57"/>
    <x v="0"/>
    <x v="0"/>
    <x v="57"/>
    <x v="57"/>
    <x v="57"/>
    <x v="57"/>
    <x v="53"/>
    <x v="53"/>
    <x v="53"/>
  </r>
  <r>
    <x v="0"/>
    <x v="58"/>
    <x v="58"/>
    <x v="0"/>
    <x v="0"/>
    <x v="6"/>
    <x v="58"/>
    <x v="58"/>
    <x v="58"/>
    <x v="58"/>
    <x v="58"/>
    <x v="58"/>
    <x v="58"/>
    <x v="0"/>
    <x v="0"/>
    <x v="58"/>
    <x v="58"/>
    <x v="58"/>
    <x v="58"/>
    <x v="54"/>
    <x v="54"/>
    <x v="54"/>
  </r>
  <r>
    <x v="0"/>
    <x v="59"/>
    <x v="59"/>
    <x v="0"/>
    <x v="0"/>
    <x v="0"/>
    <x v="59"/>
    <x v="59"/>
    <x v="59"/>
    <x v="59"/>
    <x v="59"/>
    <x v="59"/>
    <x v="59"/>
    <x v="0"/>
    <x v="0"/>
    <x v="59"/>
    <x v="59"/>
    <x v="59"/>
    <x v="59"/>
    <x v="55"/>
    <x v="55"/>
    <x v="55"/>
  </r>
  <r>
    <x v="0"/>
    <x v="60"/>
    <x v="60"/>
    <x v="0"/>
    <x v="0"/>
    <x v="4"/>
    <x v="60"/>
    <x v="60"/>
    <x v="60"/>
    <x v="60"/>
    <x v="60"/>
    <x v="60"/>
    <x v="60"/>
    <x v="0"/>
    <x v="0"/>
    <x v="60"/>
    <x v="60"/>
    <x v="60"/>
    <x v="60"/>
    <x v="56"/>
    <x v="56"/>
    <x v="56"/>
  </r>
  <r>
    <x v="0"/>
    <x v="61"/>
    <x v="61"/>
    <x v="0"/>
    <x v="0"/>
    <x v="6"/>
    <x v="61"/>
    <x v="61"/>
    <x v="61"/>
    <x v="61"/>
    <x v="61"/>
    <x v="61"/>
    <x v="61"/>
    <x v="0"/>
    <x v="0"/>
    <x v="61"/>
    <x v="61"/>
    <x v="61"/>
    <x v="61"/>
    <x v="57"/>
    <x v="57"/>
    <x v="57"/>
  </r>
  <r>
    <x v="0"/>
    <x v="62"/>
    <x v="62"/>
    <x v="0"/>
    <x v="0"/>
    <x v="1"/>
    <x v="62"/>
    <x v="62"/>
    <x v="62"/>
    <x v="62"/>
    <x v="62"/>
    <x v="62"/>
    <x v="62"/>
    <x v="0"/>
    <x v="0"/>
    <x v="62"/>
    <x v="62"/>
    <x v="62"/>
    <x v="62"/>
    <x v="58"/>
    <x v="58"/>
    <x v="58"/>
  </r>
  <r>
    <x v="0"/>
    <x v="63"/>
    <x v="63"/>
    <x v="0"/>
    <x v="0"/>
    <x v="0"/>
    <x v="63"/>
    <x v="63"/>
    <x v="63"/>
    <x v="63"/>
    <x v="63"/>
    <x v="63"/>
    <x v="63"/>
    <x v="0"/>
    <x v="0"/>
    <x v="63"/>
    <x v="63"/>
    <x v="63"/>
    <x v="63"/>
    <x v="59"/>
    <x v="59"/>
    <x v="59"/>
  </r>
  <r>
    <x v="0"/>
    <x v="64"/>
    <x v="64"/>
    <x v="0"/>
    <x v="0"/>
    <x v="1"/>
    <x v="64"/>
    <x v="64"/>
    <x v="64"/>
    <x v="64"/>
    <x v="64"/>
    <x v="64"/>
    <x v="64"/>
    <x v="0"/>
    <x v="0"/>
    <x v="64"/>
    <x v="64"/>
    <x v="64"/>
    <x v="64"/>
    <x v="60"/>
    <x v="60"/>
    <x v="60"/>
  </r>
  <r>
    <x v="0"/>
    <x v="65"/>
    <x v="65"/>
    <x v="0"/>
    <x v="0"/>
    <x v="1"/>
    <x v="65"/>
    <x v="65"/>
    <x v="65"/>
    <x v="65"/>
    <x v="65"/>
    <x v="65"/>
    <x v="65"/>
    <x v="0"/>
    <x v="0"/>
    <x v="65"/>
    <x v="65"/>
    <x v="65"/>
    <x v="65"/>
    <x v="61"/>
    <x v="61"/>
    <x v="61"/>
  </r>
  <r>
    <x v="0"/>
    <x v="66"/>
    <x v="66"/>
    <x v="0"/>
    <x v="0"/>
    <x v="0"/>
    <x v="66"/>
    <x v="66"/>
    <x v="66"/>
    <x v="66"/>
    <x v="66"/>
    <x v="66"/>
    <x v="66"/>
    <x v="0"/>
    <x v="0"/>
    <x v="66"/>
    <x v="66"/>
    <x v="66"/>
    <x v="66"/>
    <x v="62"/>
    <x v="62"/>
    <x v="62"/>
  </r>
  <r>
    <x v="0"/>
    <x v="67"/>
    <x v="67"/>
    <x v="0"/>
    <x v="0"/>
    <x v="3"/>
    <x v="67"/>
    <x v="67"/>
    <x v="67"/>
    <x v="67"/>
    <x v="67"/>
    <x v="67"/>
    <x v="67"/>
    <x v="4"/>
    <x v="4"/>
    <x v="67"/>
    <x v="67"/>
    <x v="67"/>
    <x v="67"/>
    <x v="63"/>
    <x v="63"/>
    <x v="63"/>
  </r>
  <r>
    <x v="0"/>
    <x v="68"/>
    <x v="68"/>
    <x v="0"/>
    <x v="0"/>
    <x v="0"/>
    <x v="68"/>
    <x v="68"/>
    <x v="68"/>
    <x v="68"/>
    <x v="68"/>
    <x v="68"/>
    <x v="68"/>
    <x v="0"/>
    <x v="0"/>
    <x v="68"/>
    <x v="68"/>
    <x v="68"/>
    <x v="68"/>
    <x v="64"/>
    <x v="64"/>
    <x v="64"/>
  </r>
  <r>
    <x v="0"/>
    <x v="69"/>
    <x v="69"/>
    <x v="0"/>
    <x v="0"/>
    <x v="1"/>
    <x v="69"/>
    <x v="69"/>
    <x v="69"/>
    <x v="69"/>
    <x v="69"/>
    <x v="69"/>
    <x v="69"/>
    <x v="0"/>
    <x v="0"/>
    <x v="69"/>
    <x v="69"/>
    <x v="69"/>
    <x v="69"/>
    <x v="65"/>
    <x v="65"/>
    <x v="65"/>
  </r>
  <r>
    <x v="0"/>
    <x v="70"/>
    <x v="70"/>
    <x v="0"/>
    <x v="0"/>
    <x v="0"/>
    <x v="70"/>
    <x v="70"/>
    <x v="70"/>
    <x v="70"/>
    <x v="70"/>
    <x v="70"/>
    <x v="70"/>
    <x v="0"/>
    <x v="0"/>
    <x v="70"/>
    <x v="70"/>
    <x v="70"/>
    <x v="70"/>
    <x v="66"/>
    <x v="66"/>
    <x v="66"/>
  </r>
  <r>
    <x v="0"/>
    <x v="71"/>
    <x v="71"/>
    <x v="0"/>
    <x v="0"/>
    <x v="1"/>
    <x v="71"/>
    <x v="71"/>
    <x v="71"/>
    <x v="71"/>
    <x v="71"/>
    <x v="71"/>
    <x v="71"/>
    <x v="0"/>
    <x v="0"/>
    <x v="71"/>
    <x v="71"/>
    <x v="71"/>
    <x v="71"/>
    <x v="67"/>
    <x v="67"/>
    <x v="67"/>
  </r>
  <r>
    <x v="0"/>
    <x v="72"/>
    <x v="72"/>
    <x v="0"/>
    <x v="0"/>
    <x v="2"/>
    <x v="72"/>
    <x v="72"/>
    <x v="72"/>
    <x v="72"/>
    <x v="72"/>
    <x v="72"/>
    <x v="72"/>
    <x v="0"/>
    <x v="0"/>
    <x v="72"/>
    <x v="72"/>
    <x v="72"/>
    <x v="72"/>
    <x v="68"/>
    <x v="68"/>
    <x v="68"/>
  </r>
  <r>
    <x v="0"/>
    <x v="73"/>
    <x v="73"/>
    <x v="0"/>
    <x v="0"/>
    <x v="4"/>
    <x v="73"/>
    <x v="73"/>
    <x v="73"/>
    <x v="73"/>
    <x v="73"/>
    <x v="73"/>
    <x v="73"/>
    <x v="0"/>
    <x v="0"/>
    <x v="73"/>
    <x v="73"/>
    <x v="73"/>
    <x v="73"/>
    <x v="69"/>
    <x v="69"/>
    <x v="69"/>
  </r>
  <r>
    <x v="0"/>
    <x v="74"/>
    <x v="74"/>
    <x v="0"/>
    <x v="0"/>
    <x v="1"/>
    <x v="74"/>
    <x v="74"/>
    <x v="74"/>
    <x v="74"/>
    <x v="74"/>
    <x v="74"/>
    <x v="74"/>
    <x v="0"/>
    <x v="0"/>
    <x v="74"/>
    <x v="74"/>
    <x v="74"/>
    <x v="74"/>
    <x v="70"/>
    <x v="70"/>
    <x v="70"/>
  </r>
  <r>
    <x v="0"/>
    <x v="75"/>
    <x v="75"/>
    <x v="0"/>
    <x v="0"/>
    <x v="4"/>
    <x v="75"/>
    <x v="75"/>
    <x v="75"/>
    <x v="75"/>
    <x v="75"/>
    <x v="75"/>
    <x v="75"/>
    <x v="0"/>
    <x v="0"/>
    <x v="75"/>
    <x v="75"/>
    <x v="75"/>
    <x v="75"/>
    <x v="71"/>
    <x v="71"/>
    <x v="71"/>
  </r>
  <r>
    <x v="0"/>
    <x v="76"/>
    <x v="76"/>
    <x v="0"/>
    <x v="0"/>
    <x v="1"/>
    <x v="76"/>
    <x v="4"/>
    <x v="76"/>
    <x v="76"/>
    <x v="76"/>
    <x v="76"/>
    <x v="76"/>
    <x v="0"/>
    <x v="0"/>
    <x v="76"/>
    <x v="76"/>
    <x v="76"/>
    <x v="76"/>
    <x v="72"/>
    <x v="72"/>
    <x v="72"/>
  </r>
  <r>
    <x v="0"/>
    <x v="77"/>
    <x v="77"/>
    <x v="0"/>
    <x v="0"/>
    <x v="4"/>
    <x v="77"/>
    <x v="76"/>
    <x v="77"/>
    <x v="77"/>
    <x v="77"/>
    <x v="77"/>
    <x v="77"/>
    <x v="0"/>
    <x v="0"/>
    <x v="77"/>
    <x v="77"/>
    <x v="77"/>
    <x v="77"/>
    <x v="73"/>
    <x v="73"/>
    <x v="73"/>
  </r>
  <r>
    <x v="0"/>
    <x v="78"/>
    <x v="78"/>
    <x v="0"/>
    <x v="0"/>
    <x v="1"/>
    <x v="78"/>
    <x v="77"/>
    <x v="78"/>
    <x v="78"/>
    <x v="78"/>
    <x v="78"/>
    <x v="78"/>
    <x v="0"/>
    <x v="0"/>
    <x v="78"/>
    <x v="78"/>
    <x v="78"/>
    <x v="78"/>
    <x v="74"/>
    <x v="74"/>
    <x v="74"/>
  </r>
  <r>
    <x v="0"/>
    <x v="79"/>
    <x v="79"/>
    <x v="0"/>
    <x v="0"/>
    <x v="4"/>
    <x v="79"/>
    <x v="78"/>
    <x v="79"/>
    <x v="79"/>
    <x v="79"/>
    <x v="79"/>
    <x v="79"/>
    <x v="0"/>
    <x v="0"/>
    <x v="79"/>
    <x v="79"/>
    <x v="79"/>
    <x v="79"/>
    <x v="75"/>
    <x v="75"/>
    <x v="75"/>
  </r>
  <r>
    <x v="0"/>
    <x v="80"/>
    <x v="80"/>
    <x v="0"/>
    <x v="0"/>
    <x v="4"/>
    <x v="80"/>
    <x v="79"/>
    <x v="80"/>
    <x v="80"/>
    <x v="80"/>
    <x v="80"/>
    <x v="80"/>
    <x v="0"/>
    <x v="0"/>
    <x v="80"/>
    <x v="80"/>
    <x v="80"/>
    <x v="80"/>
    <x v="76"/>
    <x v="76"/>
    <x v="76"/>
  </r>
  <r>
    <x v="0"/>
    <x v="81"/>
    <x v="81"/>
    <x v="0"/>
    <x v="0"/>
    <x v="4"/>
    <x v="81"/>
    <x v="80"/>
    <x v="81"/>
    <x v="81"/>
    <x v="81"/>
    <x v="81"/>
    <x v="81"/>
    <x v="0"/>
    <x v="0"/>
    <x v="81"/>
    <x v="81"/>
    <x v="81"/>
    <x v="81"/>
    <x v="77"/>
    <x v="77"/>
    <x v="77"/>
  </r>
  <r>
    <x v="0"/>
    <x v="82"/>
    <x v="82"/>
    <x v="0"/>
    <x v="0"/>
    <x v="1"/>
    <x v="82"/>
    <x v="81"/>
    <x v="82"/>
    <x v="82"/>
    <x v="82"/>
    <x v="82"/>
    <x v="82"/>
    <x v="0"/>
    <x v="0"/>
    <x v="82"/>
    <x v="82"/>
    <x v="82"/>
    <x v="82"/>
    <x v="78"/>
    <x v="78"/>
    <x v="78"/>
  </r>
  <r>
    <x v="0"/>
    <x v="83"/>
    <x v="83"/>
    <x v="0"/>
    <x v="0"/>
    <x v="4"/>
    <x v="83"/>
    <x v="82"/>
    <x v="83"/>
    <x v="83"/>
    <x v="83"/>
    <x v="83"/>
    <x v="83"/>
    <x v="0"/>
    <x v="0"/>
    <x v="83"/>
    <x v="83"/>
    <x v="83"/>
    <x v="83"/>
    <x v="79"/>
    <x v="79"/>
    <x v="79"/>
  </r>
  <r>
    <x v="0"/>
    <x v="84"/>
    <x v="84"/>
    <x v="0"/>
    <x v="0"/>
    <x v="4"/>
    <x v="84"/>
    <x v="83"/>
    <x v="84"/>
    <x v="84"/>
    <x v="84"/>
    <x v="84"/>
    <x v="84"/>
    <x v="0"/>
    <x v="0"/>
    <x v="84"/>
    <x v="84"/>
    <x v="84"/>
    <x v="84"/>
    <x v="80"/>
    <x v="80"/>
    <x v="80"/>
  </r>
  <r>
    <x v="0"/>
    <x v="85"/>
    <x v="85"/>
    <x v="0"/>
    <x v="0"/>
    <x v="1"/>
    <x v="85"/>
    <x v="84"/>
    <x v="85"/>
    <x v="85"/>
    <x v="85"/>
    <x v="85"/>
    <x v="85"/>
    <x v="0"/>
    <x v="0"/>
    <x v="85"/>
    <x v="85"/>
    <x v="85"/>
    <x v="85"/>
    <x v="81"/>
    <x v="81"/>
    <x v="81"/>
  </r>
  <r>
    <x v="0"/>
    <x v="86"/>
    <x v="86"/>
    <x v="0"/>
    <x v="0"/>
    <x v="6"/>
    <x v="86"/>
    <x v="85"/>
    <x v="86"/>
    <x v="86"/>
    <x v="86"/>
    <x v="86"/>
    <x v="86"/>
    <x v="0"/>
    <x v="0"/>
    <x v="86"/>
    <x v="86"/>
    <x v="86"/>
    <x v="86"/>
    <x v="82"/>
    <x v="82"/>
    <x v="82"/>
  </r>
  <r>
    <x v="0"/>
    <x v="87"/>
    <x v="87"/>
    <x v="0"/>
    <x v="0"/>
    <x v="4"/>
    <x v="87"/>
    <x v="86"/>
    <x v="87"/>
    <x v="87"/>
    <x v="87"/>
    <x v="87"/>
    <x v="87"/>
    <x v="0"/>
    <x v="0"/>
    <x v="87"/>
    <x v="87"/>
    <x v="87"/>
    <x v="87"/>
    <x v="83"/>
    <x v="83"/>
    <x v="83"/>
  </r>
  <r>
    <x v="0"/>
    <x v="88"/>
    <x v="88"/>
    <x v="0"/>
    <x v="0"/>
    <x v="0"/>
    <x v="88"/>
    <x v="87"/>
    <x v="88"/>
    <x v="88"/>
    <x v="88"/>
    <x v="88"/>
    <x v="88"/>
    <x v="0"/>
    <x v="0"/>
    <x v="88"/>
    <x v="88"/>
    <x v="88"/>
    <x v="88"/>
    <x v="84"/>
    <x v="84"/>
    <x v="84"/>
  </r>
  <r>
    <x v="0"/>
    <x v="89"/>
    <x v="89"/>
    <x v="0"/>
    <x v="0"/>
    <x v="1"/>
    <x v="89"/>
    <x v="88"/>
    <x v="89"/>
    <x v="89"/>
    <x v="89"/>
    <x v="89"/>
    <x v="89"/>
    <x v="0"/>
    <x v="0"/>
    <x v="89"/>
    <x v="89"/>
    <x v="89"/>
    <x v="89"/>
    <x v="85"/>
    <x v="85"/>
    <x v="85"/>
  </r>
  <r>
    <x v="0"/>
    <x v="90"/>
    <x v="90"/>
    <x v="0"/>
    <x v="0"/>
    <x v="4"/>
    <x v="90"/>
    <x v="89"/>
    <x v="90"/>
    <x v="90"/>
    <x v="90"/>
    <x v="90"/>
    <x v="90"/>
    <x v="0"/>
    <x v="0"/>
    <x v="90"/>
    <x v="90"/>
    <x v="90"/>
    <x v="90"/>
    <x v="86"/>
    <x v="86"/>
    <x v="86"/>
  </r>
  <r>
    <x v="0"/>
    <x v="91"/>
    <x v="91"/>
    <x v="0"/>
    <x v="0"/>
    <x v="1"/>
    <x v="91"/>
    <x v="90"/>
    <x v="91"/>
    <x v="91"/>
    <x v="91"/>
    <x v="91"/>
    <x v="91"/>
    <x v="0"/>
    <x v="0"/>
    <x v="91"/>
    <x v="91"/>
    <x v="91"/>
    <x v="91"/>
    <x v="87"/>
    <x v="87"/>
    <x v="87"/>
  </r>
  <r>
    <x v="0"/>
    <x v="92"/>
    <x v="92"/>
    <x v="0"/>
    <x v="0"/>
    <x v="4"/>
    <x v="92"/>
    <x v="91"/>
    <x v="92"/>
    <x v="92"/>
    <x v="92"/>
    <x v="92"/>
    <x v="92"/>
    <x v="0"/>
    <x v="0"/>
    <x v="92"/>
    <x v="92"/>
    <x v="92"/>
    <x v="92"/>
    <x v="88"/>
    <x v="88"/>
    <x v="88"/>
  </r>
  <r>
    <x v="0"/>
    <x v="93"/>
    <x v="93"/>
    <x v="0"/>
    <x v="0"/>
    <x v="1"/>
    <x v="93"/>
    <x v="92"/>
    <x v="93"/>
    <x v="93"/>
    <x v="93"/>
    <x v="93"/>
    <x v="93"/>
    <x v="0"/>
    <x v="0"/>
    <x v="93"/>
    <x v="93"/>
    <x v="93"/>
    <x v="93"/>
    <x v="89"/>
    <x v="89"/>
    <x v="89"/>
  </r>
  <r>
    <x v="0"/>
    <x v="94"/>
    <x v="94"/>
    <x v="0"/>
    <x v="0"/>
    <x v="0"/>
    <x v="94"/>
    <x v="93"/>
    <x v="94"/>
    <x v="94"/>
    <x v="94"/>
    <x v="94"/>
    <x v="94"/>
    <x v="0"/>
    <x v="0"/>
    <x v="94"/>
    <x v="94"/>
    <x v="94"/>
    <x v="94"/>
    <x v="90"/>
    <x v="90"/>
    <x v="90"/>
  </r>
  <r>
    <x v="0"/>
    <x v="95"/>
    <x v="95"/>
    <x v="0"/>
    <x v="0"/>
    <x v="0"/>
    <x v="95"/>
    <x v="94"/>
    <x v="95"/>
    <x v="95"/>
    <x v="95"/>
    <x v="95"/>
    <x v="95"/>
    <x v="0"/>
    <x v="0"/>
    <x v="95"/>
    <x v="95"/>
    <x v="95"/>
    <x v="95"/>
    <x v="91"/>
    <x v="91"/>
    <x v="91"/>
  </r>
  <r>
    <x v="0"/>
    <x v="96"/>
    <x v="96"/>
    <x v="0"/>
    <x v="0"/>
    <x v="4"/>
    <x v="96"/>
    <x v="95"/>
    <x v="96"/>
    <x v="96"/>
    <x v="96"/>
    <x v="96"/>
    <x v="96"/>
    <x v="0"/>
    <x v="0"/>
    <x v="96"/>
    <x v="96"/>
    <x v="96"/>
    <x v="96"/>
    <x v="92"/>
    <x v="92"/>
    <x v="92"/>
  </r>
  <r>
    <x v="0"/>
    <x v="97"/>
    <x v="97"/>
    <x v="0"/>
    <x v="0"/>
    <x v="4"/>
    <x v="97"/>
    <x v="96"/>
    <x v="97"/>
    <x v="97"/>
    <x v="97"/>
    <x v="97"/>
    <x v="97"/>
    <x v="0"/>
    <x v="0"/>
    <x v="97"/>
    <x v="97"/>
    <x v="97"/>
    <x v="97"/>
    <x v="93"/>
    <x v="93"/>
    <x v="93"/>
  </r>
  <r>
    <x v="0"/>
    <x v="98"/>
    <x v="98"/>
    <x v="0"/>
    <x v="0"/>
    <x v="5"/>
    <x v="98"/>
    <x v="97"/>
    <x v="98"/>
    <x v="98"/>
    <x v="98"/>
    <x v="98"/>
    <x v="98"/>
    <x v="5"/>
    <x v="5"/>
    <x v="98"/>
    <x v="98"/>
    <x v="98"/>
    <x v="98"/>
    <x v="94"/>
    <x v="94"/>
    <x v="94"/>
  </r>
  <r>
    <x v="0"/>
    <x v="99"/>
    <x v="99"/>
    <x v="0"/>
    <x v="0"/>
    <x v="1"/>
    <x v="99"/>
    <x v="98"/>
    <x v="99"/>
    <x v="99"/>
    <x v="99"/>
    <x v="99"/>
    <x v="99"/>
    <x v="0"/>
    <x v="0"/>
    <x v="99"/>
    <x v="99"/>
    <x v="99"/>
    <x v="99"/>
    <x v="95"/>
    <x v="95"/>
    <x v="95"/>
  </r>
  <r>
    <x v="0"/>
    <x v="100"/>
    <x v="100"/>
    <x v="0"/>
    <x v="0"/>
    <x v="4"/>
    <x v="100"/>
    <x v="99"/>
    <x v="100"/>
    <x v="100"/>
    <x v="100"/>
    <x v="100"/>
    <x v="100"/>
    <x v="0"/>
    <x v="0"/>
    <x v="100"/>
    <x v="100"/>
    <x v="100"/>
    <x v="100"/>
    <x v="96"/>
    <x v="96"/>
    <x v="96"/>
  </r>
  <r>
    <x v="0"/>
    <x v="101"/>
    <x v="101"/>
    <x v="0"/>
    <x v="0"/>
    <x v="1"/>
    <x v="101"/>
    <x v="100"/>
    <x v="101"/>
    <x v="101"/>
    <x v="101"/>
    <x v="101"/>
    <x v="101"/>
    <x v="0"/>
    <x v="0"/>
    <x v="101"/>
    <x v="101"/>
    <x v="101"/>
    <x v="101"/>
    <x v="97"/>
    <x v="97"/>
    <x v="97"/>
  </r>
  <r>
    <x v="0"/>
    <x v="102"/>
    <x v="102"/>
    <x v="0"/>
    <x v="0"/>
    <x v="1"/>
    <x v="102"/>
    <x v="101"/>
    <x v="102"/>
    <x v="102"/>
    <x v="102"/>
    <x v="102"/>
    <x v="102"/>
    <x v="0"/>
    <x v="0"/>
    <x v="102"/>
    <x v="102"/>
    <x v="102"/>
    <x v="102"/>
    <x v="98"/>
    <x v="98"/>
    <x v="98"/>
  </r>
  <r>
    <x v="0"/>
    <x v="103"/>
    <x v="103"/>
    <x v="0"/>
    <x v="0"/>
    <x v="3"/>
    <x v="103"/>
    <x v="102"/>
    <x v="103"/>
    <x v="103"/>
    <x v="103"/>
    <x v="103"/>
    <x v="103"/>
    <x v="6"/>
    <x v="6"/>
    <x v="103"/>
    <x v="103"/>
    <x v="103"/>
    <x v="103"/>
    <x v="99"/>
    <x v="99"/>
    <x v="99"/>
  </r>
  <r>
    <x v="0"/>
    <x v="104"/>
    <x v="104"/>
    <x v="0"/>
    <x v="0"/>
    <x v="4"/>
    <x v="104"/>
    <x v="103"/>
    <x v="104"/>
    <x v="104"/>
    <x v="104"/>
    <x v="104"/>
    <x v="104"/>
    <x v="0"/>
    <x v="0"/>
    <x v="104"/>
    <x v="104"/>
    <x v="104"/>
    <x v="104"/>
    <x v="100"/>
    <x v="100"/>
    <x v="100"/>
  </r>
  <r>
    <x v="0"/>
    <x v="105"/>
    <x v="105"/>
    <x v="0"/>
    <x v="0"/>
    <x v="4"/>
    <x v="105"/>
    <x v="104"/>
    <x v="105"/>
    <x v="105"/>
    <x v="105"/>
    <x v="105"/>
    <x v="105"/>
    <x v="0"/>
    <x v="0"/>
    <x v="105"/>
    <x v="105"/>
    <x v="105"/>
    <x v="105"/>
    <x v="101"/>
    <x v="101"/>
    <x v="101"/>
  </r>
  <r>
    <x v="0"/>
    <x v="106"/>
    <x v="106"/>
    <x v="0"/>
    <x v="0"/>
    <x v="4"/>
    <x v="106"/>
    <x v="105"/>
    <x v="106"/>
    <x v="106"/>
    <x v="106"/>
    <x v="106"/>
    <x v="106"/>
    <x v="0"/>
    <x v="0"/>
    <x v="106"/>
    <x v="106"/>
    <x v="106"/>
    <x v="106"/>
    <x v="102"/>
    <x v="102"/>
    <x v="102"/>
  </r>
  <r>
    <x v="0"/>
    <x v="107"/>
    <x v="107"/>
    <x v="0"/>
    <x v="0"/>
    <x v="1"/>
    <x v="107"/>
    <x v="106"/>
    <x v="107"/>
    <x v="107"/>
    <x v="107"/>
    <x v="107"/>
    <x v="107"/>
    <x v="0"/>
    <x v="0"/>
    <x v="107"/>
    <x v="107"/>
    <x v="107"/>
    <x v="107"/>
    <x v="103"/>
    <x v="103"/>
    <x v="103"/>
  </r>
  <r>
    <x v="0"/>
    <x v="108"/>
    <x v="108"/>
    <x v="0"/>
    <x v="0"/>
    <x v="0"/>
    <x v="108"/>
    <x v="107"/>
    <x v="108"/>
    <x v="108"/>
    <x v="108"/>
    <x v="108"/>
    <x v="108"/>
    <x v="0"/>
    <x v="0"/>
    <x v="108"/>
    <x v="108"/>
    <x v="108"/>
    <x v="108"/>
    <x v="104"/>
    <x v="104"/>
    <x v="104"/>
  </r>
  <r>
    <x v="0"/>
    <x v="109"/>
    <x v="109"/>
    <x v="0"/>
    <x v="0"/>
    <x v="4"/>
    <x v="109"/>
    <x v="108"/>
    <x v="109"/>
    <x v="109"/>
    <x v="109"/>
    <x v="109"/>
    <x v="109"/>
    <x v="0"/>
    <x v="0"/>
    <x v="109"/>
    <x v="109"/>
    <x v="109"/>
    <x v="109"/>
    <x v="105"/>
    <x v="105"/>
    <x v="105"/>
  </r>
  <r>
    <x v="0"/>
    <x v="110"/>
    <x v="110"/>
    <x v="0"/>
    <x v="0"/>
    <x v="4"/>
    <x v="110"/>
    <x v="109"/>
    <x v="110"/>
    <x v="110"/>
    <x v="110"/>
    <x v="110"/>
    <x v="110"/>
    <x v="0"/>
    <x v="0"/>
    <x v="110"/>
    <x v="110"/>
    <x v="110"/>
    <x v="110"/>
    <x v="106"/>
    <x v="106"/>
    <x v="106"/>
  </r>
  <r>
    <x v="0"/>
    <x v="111"/>
    <x v="111"/>
    <x v="0"/>
    <x v="0"/>
    <x v="4"/>
    <x v="111"/>
    <x v="110"/>
    <x v="111"/>
    <x v="111"/>
    <x v="111"/>
    <x v="111"/>
    <x v="111"/>
    <x v="0"/>
    <x v="0"/>
    <x v="111"/>
    <x v="111"/>
    <x v="111"/>
    <x v="111"/>
    <x v="107"/>
    <x v="107"/>
    <x v="107"/>
  </r>
  <r>
    <x v="0"/>
    <x v="112"/>
    <x v="112"/>
    <x v="0"/>
    <x v="0"/>
    <x v="1"/>
    <x v="112"/>
    <x v="111"/>
    <x v="112"/>
    <x v="112"/>
    <x v="112"/>
    <x v="112"/>
    <x v="112"/>
    <x v="0"/>
    <x v="0"/>
    <x v="112"/>
    <x v="112"/>
    <x v="112"/>
    <x v="112"/>
    <x v="108"/>
    <x v="108"/>
    <x v="108"/>
  </r>
  <r>
    <x v="0"/>
    <x v="113"/>
    <x v="113"/>
    <x v="0"/>
    <x v="0"/>
    <x v="0"/>
    <x v="113"/>
    <x v="112"/>
    <x v="113"/>
    <x v="113"/>
    <x v="113"/>
    <x v="113"/>
    <x v="113"/>
    <x v="0"/>
    <x v="0"/>
    <x v="113"/>
    <x v="113"/>
    <x v="113"/>
    <x v="113"/>
    <x v="109"/>
    <x v="109"/>
    <x v="109"/>
  </r>
  <r>
    <x v="0"/>
    <x v="114"/>
    <x v="114"/>
    <x v="0"/>
    <x v="0"/>
    <x v="1"/>
    <x v="114"/>
    <x v="113"/>
    <x v="114"/>
    <x v="114"/>
    <x v="114"/>
    <x v="114"/>
    <x v="114"/>
    <x v="0"/>
    <x v="0"/>
    <x v="114"/>
    <x v="114"/>
    <x v="114"/>
    <x v="114"/>
    <x v="110"/>
    <x v="110"/>
    <x v="110"/>
  </r>
  <r>
    <x v="0"/>
    <x v="115"/>
    <x v="115"/>
    <x v="0"/>
    <x v="0"/>
    <x v="0"/>
    <x v="115"/>
    <x v="114"/>
    <x v="115"/>
    <x v="115"/>
    <x v="115"/>
    <x v="115"/>
    <x v="115"/>
    <x v="0"/>
    <x v="0"/>
    <x v="115"/>
    <x v="115"/>
    <x v="115"/>
    <x v="115"/>
    <x v="111"/>
    <x v="111"/>
    <x v="111"/>
  </r>
  <r>
    <x v="0"/>
    <x v="116"/>
    <x v="116"/>
    <x v="0"/>
    <x v="0"/>
    <x v="4"/>
    <x v="116"/>
    <x v="115"/>
    <x v="116"/>
    <x v="116"/>
    <x v="116"/>
    <x v="116"/>
    <x v="116"/>
    <x v="0"/>
    <x v="0"/>
    <x v="116"/>
    <x v="116"/>
    <x v="116"/>
    <x v="116"/>
    <x v="112"/>
    <x v="112"/>
    <x v="112"/>
  </r>
  <r>
    <x v="0"/>
    <x v="117"/>
    <x v="117"/>
    <x v="0"/>
    <x v="0"/>
    <x v="1"/>
    <x v="117"/>
    <x v="116"/>
    <x v="117"/>
    <x v="117"/>
    <x v="117"/>
    <x v="117"/>
    <x v="117"/>
    <x v="0"/>
    <x v="0"/>
    <x v="117"/>
    <x v="117"/>
    <x v="117"/>
    <x v="117"/>
    <x v="113"/>
    <x v="113"/>
    <x v="113"/>
  </r>
  <r>
    <x v="0"/>
    <x v="118"/>
    <x v="118"/>
    <x v="0"/>
    <x v="0"/>
    <x v="4"/>
    <x v="118"/>
    <x v="117"/>
    <x v="118"/>
    <x v="118"/>
    <x v="118"/>
    <x v="118"/>
    <x v="118"/>
    <x v="0"/>
    <x v="0"/>
    <x v="118"/>
    <x v="118"/>
    <x v="118"/>
    <x v="118"/>
    <x v="114"/>
    <x v="114"/>
    <x v="114"/>
  </r>
  <r>
    <x v="0"/>
    <x v="119"/>
    <x v="119"/>
    <x v="0"/>
    <x v="0"/>
    <x v="3"/>
    <x v="119"/>
    <x v="118"/>
    <x v="119"/>
    <x v="119"/>
    <x v="119"/>
    <x v="119"/>
    <x v="119"/>
    <x v="7"/>
    <x v="7"/>
    <x v="119"/>
    <x v="119"/>
    <x v="119"/>
    <x v="119"/>
    <x v="115"/>
    <x v="115"/>
    <x v="115"/>
  </r>
  <r>
    <x v="0"/>
    <x v="120"/>
    <x v="120"/>
    <x v="0"/>
    <x v="0"/>
    <x v="4"/>
    <x v="120"/>
    <x v="119"/>
    <x v="120"/>
    <x v="120"/>
    <x v="120"/>
    <x v="120"/>
    <x v="120"/>
    <x v="0"/>
    <x v="0"/>
    <x v="120"/>
    <x v="120"/>
    <x v="120"/>
    <x v="120"/>
    <x v="116"/>
    <x v="116"/>
    <x v="116"/>
  </r>
  <r>
    <x v="0"/>
    <x v="121"/>
    <x v="121"/>
    <x v="0"/>
    <x v="0"/>
    <x v="2"/>
    <x v="121"/>
    <x v="120"/>
    <x v="121"/>
    <x v="121"/>
    <x v="121"/>
    <x v="121"/>
    <x v="121"/>
    <x v="0"/>
    <x v="0"/>
    <x v="121"/>
    <x v="121"/>
    <x v="121"/>
    <x v="121"/>
    <x v="0"/>
    <x v="0"/>
    <x v="0"/>
  </r>
  <r>
    <x v="0"/>
    <x v="122"/>
    <x v="122"/>
    <x v="0"/>
    <x v="0"/>
    <x v="0"/>
    <x v="122"/>
    <x v="121"/>
    <x v="122"/>
    <x v="122"/>
    <x v="122"/>
    <x v="122"/>
    <x v="122"/>
    <x v="0"/>
    <x v="0"/>
    <x v="122"/>
    <x v="122"/>
    <x v="122"/>
    <x v="122"/>
    <x v="117"/>
    <x v="117"/>
    <x v="117"/>
  </r>
  <r>
    <x v="0"/>
    <x v="123"/>
    <x v="123"/>
    <x v="0"/>
    <x v="0"/>
    <x v="1"/>
    <x v="123"/>
    <x v="122"/>
    <x v="123"/>
    <x v="123"/>
    <x v="123"/>
    <x v="123"/>
    <x v="123"/>
    <x v="0"/>
    <x v="0"/>
    <x v="123"/>
    <x v="123"/>
    <x v="123"/>
    <x v="123"/>
    <x v="118"/>
    <x v="118"/>
    <x v="118"/>
  </r>
  <r>
    <x v="0"/>
    <x v="124"/>
    <x v="124"/>
    <x v="0"/>
    <x v="0"/>
    <x v="0"/>
    <x v="124"/>
    <x v="123"/>
    <x v="124"/>
    <x v="124"/>
    <x v="124"/>
    <x v="124"/>
    <x v="124"/>
    <x v="0"/>
    <x v="0"/>
    <x v="124"/>
    <x v="124"/>
    <x v="124"/>
    <x v="124"/>
    <x v="119"/>
    <x v="119"/>
    <x v="119"/>
  </r>
  <r>
    <x v="0"/>
    <x v="125"/>
    <x v="125"/>
    <x v="0"/>
    <x v="0"/>
    <x v="1"/>
    <x v="125"/>
    <x v="124"/>
    <x v="125"/>
    <x v="125"/>
    <x v="125"/>
    <x v="125"/>
    <x v="125"/>
    <x v="0"/>
    <x v="0"/>
    <x v="125"/>
    <x v="125"/>
    <x v="125"/>
    <x v="125"/>
    <x v="120"/>
    <x v="120"/>
    <x v="120"/>
  </r>
  <r>
    <x v="0"/>
    <x v="126"/>
    <x v="126"/>
    <x v="0"/>
    <x v="0"/>
    <x v="4"/>
    <x v="126"/>
    <x v="125"/>
    <x v="126"/>
    <x v="126"/>
    <x v="126"/>
    <x v="126"/>
    <x v="126"/>
    <x v="0"/>
    <x v="0"/>
    <x v="126"/>
    <x v="126"/>
    <x v="126"/>
    <x v="126"/>
    <x v="121"/>
    <x v="121"/>
    <x v="121"/>
  </r>
  <r>
    <x v="0"/>
    <x v="127"/>
    <x v="127"/>
    <x v="0"/>
    <x v="0"/>
    <x v="4"/>
    <x v="127"/>
    <x v="126"/>
    <x v="127"/>
    <x v="127"/>
    <x v="127"/>
    <x v="127"/>
    <x v="127"/>
    <x v="0"/>
    <x v="0"/>
    <x v="127"/>
    <x v="127"/>
    <x v="127"/>
    <x v="127"/>
    <x v="122"/>
    <x v="122"/>
    <x v="122"/>
  </r>
  <r>
    <x v="0"/>
    <x v="128"/>
    <x v="128"/>
    <x v="0"/>
    <x v="0"/>
    <x v="1"/>
    <x v="128"/>
    <x v="127"/>
    <x v="128"/>
    <x v="128"/>
    <x v="128"/>
    <x v="128"/>
    <x v="128"/>
    <x v="0"/>
    <x v="0"/>
    <x v="128"/>
    <x v="128"/>
    <x v="128"/>
    <x v="128"/>
    <x v="123"/>
    <x v="123"/>
    <x v="123"/>
  </r>
  <r>
    <x v="0"/>
    <x v="129"/>
    <x v="129"/>
    <x v="0"/>
    <x v="0"/>
    <x v="0"/>
    <x v="129"/>
    <x v="128"/>
    <x v="129"/>
    <x v="129"/>
    <x v="129"/>
    <x v="129"/>
    <x v="129"/>
    <x v="0"/>
    <x v="0"/>
    <x v="129"/>
    <x v="129"/>
    <x v="129"/>
    <x v="129"/>
    <x v="124"/>
    <x v="124"/>
    <x v="124"/>
  </r>
  <r>
    <x v="0"/>
    <x v="130"/>
    <x v="130"/>
    <x v="0"/>
    <x v="0"/>
    <x v="2"/>
    <x v="130"/>
    <x v="129"/>
    <x v="130"/>
    <x v="130"/>
    <x v="130"/>
    <x v="130"/>
    <x v="130"/>
    <x v="0"/>
    <x v="0"/>
    <x v="130"/>
    <x v="130"/>
    <x v="130"/>
    <x v="130"/>
    <x v="125"/>
    <x v="125"/>
    <x v="125"/>
  </r>
  <r>
    <x v="0"/>
    <x v="131"/>
    <x v="131"/>
    <x v="0"/>
    <x v="0"/>
    <x v="4"/>
    <x v="131"/>
    <x v="130"/>
    <x v="131"/>
    <x v="131"/>
    <x v="131"/>
    <x v="131"/>
    <x v="131"/>
    <x v="0"/>
    <x v="0"/>
    <x v="131"/>
    <x v="131"/>
    <x v="131"/>
    <x v="131"/>
    <x v="126"/>
    <x v="126"/>
    <x v="126"/>
  </r>
  <r>
    <x v="0"/>
    <x v="132"/>
    <x v="132"/>
    <x v="0"/>
    <x v="0"/>
    <x v="6"/>
    <x v="132"/>
    <x v="54"/>
    <x v="132"/>
    <x v="132"/>
    <x v="132"/>
    <x v="132"/>
    <x v="132"/>
    <x v="0"/>
    <x v="0"/>
    <x v="132"/>
    <x v="132"/>
    <x v="132"/>
    <x v="132"/>
    <x v="127"/>
    <x v="127"/>
    <x v="127"/>
  </r>
  <r>
    <x v="0"/>
    <x v="133"/>
    <x v="133"/>
    <x v="0"/>
    <x v="0"/>
    <x v="0"/>
    <x v="133"/>
    <x v="131"/>
    <x v="133"/>
    <x v="133"/>
    <x v="133"/>
    <x v="133"/>
    <x v="133"/>
    <x v="0"/>
    <x v="0"/>
    <x v="133"/>
    <x v="133"/>
    <x v="133"/>
    <x v="133"/>
    <x v="128"/>
    <x v="128"/>
    <x v="128"/>
  </r>
  <r>
    <x v="0"/>
    <x v="134"/>
    <x v="134"/>
    <x v="0"/>
    <x v="0"/>
    <x v="1"/>
    <x v="134"/>
    <x v="132"/>
    <x v="134"/>
    <x v="134"/>
    <x v="134"/>
    <x v="134"/>
    <x v="134"/>
    <x v="0"/>
    <x v="0"/>
    <x v="134"/>
    <x v="134"/>
    <x v="134"/>
    <x v="134"/>
    <x v="129"/>
    <x v="129"/>
    <x v="129"/>
  </r>
  <r>
    <x v="0"/>
    <x v="135"/>
    <x v="135"/>
    <x v="0"/>
    <x v="0"/>
    <x v="0"/>
    <x v="135"/>
    <x v="133"/>
    <x v="135"/>
    <x v="135"/>
    <x v="135"/>
    <x v="135"/>
    <x v="135"/>
    <x v="0"/>
    <x v="0"/>
    <x v="135"/>
    <x v="135"/>
    <x v="135"/>
    <x v="135"/>
    <x v="130"/>
    <x v="130"/>
    <x v="130"/>
  </r>
  <r>
    <x v="0"/>
    <x v="136"/>
    <x v="136"/>
    <x v="0"/>
    <x v="0"/>
    <x v="4"/>
    <x v="136"/>
    <x v="134"/>
    <x v="136"/>
    <x v="136"/>
    <x v="136"/>
    <x v="136"/>
    <x v="136"/>
    <x v="0"/>
    <x v="0"/>
    <x v="136"/>
    <x v="136"/>
    <x v="136"/>
    <x v="136"/>
    <x v="131"/>
    <x v="131"/>
    <x v="131"/>
  </r>
  <r>
    <x v="0"/>
    <x v="137"/>
    <x v="137"/>
    <x v="0"/>
    <x v="0"/>
    <x v="4"/>
    <x v="137"/>
    <x v="135"/>
    <x v="137"/>
    <x v="137"/>
    <x v="137"/>
    <x v="137"/>
    <x v="137"/>
    <x v="0"/>
    <x v="0"/>
    <x v="137"/>
    <x v="137"/>
    <x v="137"/>
    <x v="137"/>
    <x v="132"/>
    <x v="132"/>
    <x v="132"/>
  </r>
  <r>
    <x v="0"/>
    <x v="138"/>
    <x v="138"/>
    <x v="0"/>
    <x v="0"/>
    <x v="4"/>
    <x v="138"/>
    <x v="136"/>
    <x v="138"/>
    <x v="138"/>
    <x v="138"/>
    <x v="138"/>
    <x v="138"/>
    <x v="0"/>
    <x v="0"/>
    <x v="138"/>
    <x v="138"/>
    <x v="138"/>
    <x v="138"/>
    <x v="133"/>
    <x v="133"/>
    <x v="133"/>
  </r>
  <r>
    <x v="0"/>
    <x v="139"/>
    <x v="139"/>
    <x v="0"/>
    <x v="0"/>
    <x v="5"/>
    <x v="139"/>
    <x v="137"/>
    <x v="139"/>
    <x v="139"/>
    <x v="139"/>
    <x v="139"/>
    <x v="139"/>
    <x v="8"/>
    <x v="8"/>
    <x v="139"/>
    <x v="139"/>
    <x v="139"/>
    <x v="139"/>
    <x v="134"/>
    <x v="134"/>
    <x v="134"/>
  </r>
  <r>
    <x v="0"/>
    <x v="140"/>
    <x v="140"/>
    <x v="0"/>
    <x v="0"/>
    <x v="0"/>
    <x v="140"/>
    <x v="138"/>
    <x v="140"/>
    <x v="140"/>
    <x v="140"/>
    <x v="140"/>
    <x v="140"/>
    <x v="0"/>
    <x v="0"/>
    <x v="140"/>
    <x v="140"/>
    <x v="140"/>
    <x v="140"/>
    <x v="135"/>
    <x v="135"/>
    <x v="135"/>
  </r>
  <r>
    <x v="0"/>
    <x v="141"/>
    <x v="141"/>
    <x v="0"/>
    <x v="0"/>
    <x v="1"/>
    <x v="141"/>
    <x v="139"/>
    <x v="141"/>
    <x v="141"/>
    <x v="141"/>
    <x v="141"/>
    <x v="141"/>
    <x v="0"/>
    <x v="0"/>
    <x v="141"/>
    <x v="141"/>
    <x v="141"/>
    <x v="141"/>
    <x v="136"/>
    <x v="136"/>
    <x v="136"/>
  </r>
  <r>
    <x v="0"/>
    <x v="142"/>
    <x v="142"/>
    <x v="0"/>
    <x v="0"/>
    <x v="4"/>
    <x v="142"/>
    <x v="140"/>
    <x v="142"/>
    <x v="142"/>
    <x v="142"/>
    <x v="142"/>
    <x v="142"/>
    <x v="0"/>
    <x v="0"/>
    <x v="142"/>
    <x v="142"/>
    <x v="142"/>
    <x v="142"/>
    <x v="137"/>
    <x v="137"/>
    <x v="137"/>
  </r>
  <r>
    <x v="0"/>
    <x v="143"/>
    <x v="143"/>
    <x v="0"/>
    <x v="0"/>
    <x v="4"/>
    <x v="143"/>
    <x v="141"/>
    <x v="143"/>
    <x v="143"/>
    <x v="143"/>
    <x v="143"/>
    <x v="143"/>
    <x v="0"/>
    <x v="0"/>
    <x v="143"/>
    <x v="143"/>
    <x v="143"/>
    <x v="143"/>
    <x v="138"/>
    <x v="138"/>
    <x v="138"/>
  </r>
  <r>
    <x v="0"/>
    <x v="144"/>
    <x v="144"/>
    <x v="0"/>
    <x v="0"/>
    <x v="0"/>
    <x v="144"/>
    <x v="142"/>
    <x v="144"/>
    <x v="144"/>
    <x v="144"/>
    <x v="144"/>
    <x v="144"/>
    <x v="0"/>
    <x v="0"/>
    <x v="144"/>
    <x v="144"/>
    <x v="144"/>
    <x v="144"/>
    <x v="139"/>
    <x v="139"/>
    <x v="139"/>
  </r>
  <r>
    <x v="0"/>
    <x v="145"/>
    <x v="145"/>
    <x v="0"/>
    <x v="0"/>
    <x v="5"/>
    <x v="145"/>
    <x v="143"/>
    <x v="145"/>
    <x v="145"/>
    <x v="145"/>
    <x v="145"/>
    <x v="145"/>
    <x v="0"/>
    <x v="0"/>
    <x v="145"/>
    <x v="145"/>
    <x v="145"/>
    <x v="145"/>
    <x v="140"/>
    <x v="140"/>
    <x v="140"/>
  </r>
  <r>
    <x v="0"/>
    <x v="146"/>
    <x v="146"/>
    <x v="0"/>
    <x v="0"/>
    <x v="1"/>
    <x v="146"/>
    <x v="144"/>
    <x v="146"/>
    <x v="146"/>
    <x v="146"/>
    <x v="146"/>
    <x v="146"/>
    <x v="0"/>
    <x v="0"/>
    <x v="146"/>
    <x v="146"/>
    <x v="146"/>
    <x v="146"/>
    <x v="141"/>
    <x v="141"/>
    <x v="141"/>
  </r>
  <r>
    <x v="0"/>
    <x v="147"/>
    <x v="147"/>
    <x v="0"/>
    <x v="0"/>
    <x v="1"/>
    <x v="147"/>
    <x v="145"/>
    <x v="147"/>
    <x v="147"/>
    <x v="147"/>
    <x v="147"/>
    <x v="147"/>
    <x v="0"/>
    <x v="0"/>
    <x v="147"/>
    <x v="147"/>
    <x v="147"/>
    <x v="147"/>
    <x v="142"/>
    <x v="142"/>
    <x v="142"/>
  </r>
  <r>
    <x v="0"/>
    <x v="148"/>
    <x v="148"/>
    <x v="0"/>
    <x v="0"/>
    <x v="2"/>
    <x v="148"/>
    <x v="146"/>
    <x v="148"/>
    <x v="148"/>
    <x v="148"/>
    <x v="148"/>
    <x v="148"/>
    <x v="0"/>
    <x v="0"/>
    <x v="148"/>
    <x v="148"/>
    <x v="148"/>
    <x v="148"/>
    <x v="143"/>
    <x v="143"/>
    <x v="143"/>
  </r>
  <r>
    <x v="0"/>
    <x v="149"/>
    <x v="149"/>
    <x v="0"/>
    <x v="0"/>
    <x v="0"/>
    <x v="149"/>
    <x v="147"/>
    <x v="149"/>
    <x v="149"/>
    <x v="149"/>
    <x v="149"/>
    <x v="149"/>
    <x v="0"/>
    <x v="0"/>
    <x v="149"/>
    <x v="149"/>
    <x v="149"/>
    <x v="149"/>
    <x v="144"/>
    <x v="144"/>
    <x v="144"/>
  </r>
  <r>
    <x v="0"/>
    <x v="150"/>
    <x v="150"/>
    <x v="0"/>
    <x v="0"/>
    <x v="2"/>
    <x v="150"/>
    <x v="148"/>
    <x v="150"/>
    <x v="150"/>
    <x v="150"/>
    <x v="150"/>
    <x v="150"/>
    <x v="0"/>
    <x v="0"/>
    <x v="150"/>
    <x v="150"/>
    <x v="150"/>
    <x v="150"/>
    <x v="145"/>
    <x v="145"/>
    <x v="145"/>
  </r>
  <r>
    <x v="0"/>
    <x v="151"/>
    <x v="151"/>
    <x v="0"/>
    <x v="0"/>
    <x v="1"/>
    <x v="151"/>
    <x v="149"/>
    <x v="151"/>
    <x v="151"/>
    <x v="151"/>
    <x v="151"/>
    <x v="151"/>
    <x v="0"/>
    <x v="0"/>
    <x v="151"/>
    <x v="151"/>
    <x v="151"/>
    <x v="151"/>
    <x v="146"/>
    <x v="146"/>
    <x v="146"/>
  </r>
  <r>
    <x v="0"/>
    <x v="152"/>
    <x v="152"/>
    <x v="0"/>
    <x v="0"/>
    <x v="0"/>
    <x v="152"/>
    <x v="150"/>
    <x v="152"/>
    <x v="152"/>
    <x v="152"/>
    <x v="152"/>
    <x v="152"/>
    <x v="0"/>
    <x v="0"/>
    <x v="152"/>
    <x v="152"/>
    <x v="152"/>
    <x v="152"/>
    <x v="147"/>
    <x v="147"/>
    <x v="147"/>
  </r>
  <r>
    <x v="0"/>
    <x v="153"/>
    <x v="153"/>
    <x v="0"/>
    <x v="0"/>
    <x v="4"/>
    <x v="153"/>
    <x v="151"/>
    <x v="153"/>
    <x v="153"/>
    <x v="153"/>
    <x v="153"/>
    <x v="153"/>
    <x v="0"/>
    <x v="0"/>
    <x v="153"/>
    <x v="153"/>
    <x v="153"/>
    <x v="153"/>
    <x v="148"/>
    <x v="148"/>
    <x v="148"/>
  </r>
  <r>
    <x v="0"/>
    <x v="154"/>
    <x v="154"/>
    <x v="0"/>
    <x v="0"/>
    <x v="5"/>
    <x v="154"/>
    <x v="152"/>
    <x v="154"/>
    <x v="154"/>
    <x v="154"/>
    <x v="154"/>
    <x v="154"/>
    <x v="9"/>
    <x v="9"/>
    <x v="154"/>
    <x v="154"/>
    <x v="154"/>
    <x v="154"/>
    <x v="149"/>
    <x v="149"/>
    <x v="149"/>
  </r>
  <r>
    <x v="0"/>
    <x v="155"/>
    <x v="155"/>
    <x v="0"/>
    <x v="0"/>
    <x v="0"/>
    <x v="155"/>
    <x v="153"/>
    <x v="155"/>
    <x v="155"/>
    <x v="155"/>
    <x v="155"/>
    <x v="155"/>
    <x v="0"/>
    <x v="0"/>
    <x v="155"/>
    <x v="155"/>
    <x v="155"/>
    <x v="155"/>
    <x v="150"/>
    <x v="150"/>
    <x v="150"/>
  </r>
  <r>
    <x v="0"/>
    <x v="156"/>
    <x v="156"/>
    <x v="0"/>
    <x v="0"/>
    <x v="0"/>
    <x v="156"/>
    <x v="154"/>
    <x v="156"/>
    <x v="156"/>
    <x v="156"/>
    <x v="156"/>
    <x v="156"/>
    <x v="0"/>
    <x v="0"/>
    <x v="156"/>
    <x v="156"/>
    <x v="156"/>
    <x v="156"/>
    <x v="151"/>
    <x v="151"/>
    <x v="151"/>
  </r>
  <r>
    <x v="0"/>
    <x v="157"/>
    <x v="157"/>
    <x v="0"/>
    <x v="0"/>
    <x v="4"/>
    <x v="157"/>
    <x v="155"/>
    <x v="157"/>
    <x v="157"/>
    <x v="157"/>
    <x v="157"/>
    <x v="157"/>
    <x v="0"/>
    <x v="0"/>
    <x v="157"/>
    <x v="157"/>
    <x v="157"/>
    <x v="157"/>
    <x v="152"/>
    <x v="152"/>
    <x v="152"/>
  </r>
  <r>
    <x v="0"/>
    <x v="158"/>
    <x v="158"/>
    <x v="0"/>
    <x v="0"/>
    <x v="4"/>
    <x v="158"/>
    <x v="156"/>
    <x v="158"/>
    <x v="158"/>
    <x v="158"/>
    <x v="158"/>
    <x v="158"/>
    <x v="0"/>
    <x v="0"/>
    <x v="158"/>
    <x v="158"/>
    <x v="158"/>
    <x v="158"/>
    <x v="153"/>
    <x v="153"/>
    <x v="153"/>
  </r>
  <r>
    <x v="0"/>
    <x v="159"/>
    <x v="159"/>
    <x v="0"/>
    <x v="0"/>
    <x v="0"/>
    <x v="159"/>
    <x v="157"/>
    <x v="159"/>
    <x v="159"/>
    <x v="159"/>
    <x v="159"/>
    <x v="159"/>
    <x v="0"/>
    <x v="0"/>
    <x v="159"/>
    <x v="159"/>
    <x v="159"/>
    <x v="159"/>
    <x v="154"/>
    <x v="154"/>
    <x v="154"/>
  </r>
  <r>
    <x v="0"/>
    <x v="160"/>
    <x v="160"/>
    <x v="0"/>
    <x v="0"/>
    <x v="4"/>
    <x v="160"/>
    <x v="158"/>
    <x v="160"/>
    <x v="160"/>
    <x v="160"/>
    <x v="160"/>
    <x v="160"/>
    <x v="0"/>
    <x v="0"/>
    <x v="160"/>
    <x v="160"/>
    <x v="160"/>
    <x v="160"/>
    <x v="155"/>
    <x v="155"/>
    <x v="155"/>
  </r>
  <r>
    <x v="0"/>
    <x v="161"/>
    <x v="161"/>
    <x v="0"/>
    <x v="0"/>
    <x v="4"/>
    <x v="161"/>
    <x v="159"/>
    <x v="161"/>
    <x v="161"/>
    <x v="161"/>
    <x v="161"/>
    <x v="161"/>
    <x v="0"/>
    <x v="0"/>
    <x v="161"/>
    <x v="161"/>
    <x v="161"/>
    <x v="161"/>
    <x v="156"/>
    <x v="156"/>
    <x v="156"/>
  </r>
  <r>
    <x v="0"/>
    <x v="162"/>
    <x v="162"/>
    <x v="0"/>
    <x v="0"/>
    <x v="0"/>
    <x v="162"/>
    <x v="160"/>
    <x v="162"/>
    <x v="162"/>
    <x v="162"/>
    <x v="162"/>
    <x v="162"/>
    <x v="0"/>
    <x v="0"/>
    <x v="162"/>
    <x v="162"/>
    <x v="162"/>
    <x v="162"/>
    <x v="157"/>
    <x v="157"/>
    <x v="157"/>
  </r>
  <r>
    <x v="0"/>
    <x v="163"/>
    <x v="163"/>
    <x v="0"/>
    <x v="0"/>
    <x v="4"/>
    <x v="163"/>
    <x v="161"/>
    <x v="163"/>
    <x v="163"/>
    <x v="163"/>
    <x v="163"/>
    <x v="163"/>
    <x v="0"/>
    <x v="0"/>
    <x v="163"/>
    <x v="163"/>
    <x v="163"/>
    <x v="163"/>
    <x v="158"/>
    <x v="158"/>
    <x v="158"/>
  </r>
  <r>
    <x v="0"/>
    <x v="164"/>
    <x v="164"/>
    <x v="0"/>
    <x v="0"/>
    <x v="0"/>
    <x v="164"/>
    <x v="162"/>
    <x v="164"/>
    <x v="164"/>
    <x v="164"/>
    <x v="164"/>
    <x v="164"/>
    <x v="0"/>
    <x v="0"/>
    <x v="164"/>
    <x v="164"/>
    <x v="164"/>
    <x v="164"/>
    <x v="159"/>
    <x v="159"/>
    <x v="159"/>
  </r>
  <r>
    <x v="0"/>
    <x v="165"/>
    <x v="165"/>
    <x v="0"/>
    <x v="0"/>
    <x v="2"/>
    <x v="165"/>
    <x v="163"/>
    <x v="165"/>
    <x v="165"/>
    <x v="165"/>
    <x v="165"/>
    <x v="165"/>
    <x v="0"/>
    <x v="0"/>
    <x v="165"/>
    <x v="165"/>
    <x v="165"/>
    <x v="165"/>
    <x v="160"/>
    <x v="160"/>
    <x v="160"/>
  </r>
  <r>
    <x v="0"/>
    <x v="166"/>
    <x v="166"/>
    <x v="0"/>
    <x v="0"/>
    <x v="2"/>
    <x v="166"/>
    <x v="164"/>
    <x v="166"/>
    <x v="166"/>
    <x v="166"/>
    <x v="166"/>
    <x v="166"/>
    <x v="0"/>
    <x v="0"/>
    <x v="166"/>
    <x v="166"/>
    <x v="166"/>
    <x v="166"/>
    <x v="161"/>
    <x v="161"/>
    <x v="161"/>
  </r>
  <r>
    <x v="0"/>
    <x v="167"/>
    <x v="167"/>
    <x v="0"/>
    <x v="0"/>
    <x v="6"/>
    <x v="167"/>
    <x v="165"/>
    <x v="167"/>
    <x v="167"/>
    <x v="167"/>
    <x v="167"/>
    <x v="167"/>
    <x v="0"/>
    <x v="0"/>
    <x v="167"/>
    <x v="167"/>
    <x v="167"/>
    <x v="167"/>
    <x v="162"/>
    <x v="162"/>
    <x v="162"/>
  </r>
  <r>
    <x v="0"/>
    <x v="168"/>
    <x v="168"/>
    <x v="0"/>
    <x v="0"/>
    <x v="2"/>
    <x v="168"/>
    <x v="166"/>
    <x v="168"/>
    <x v="168"/>
    <x v="168"/>
    <x v="168"/>
    <x v="168"/>
    <x v="0"/>
    <x v="0"/>
    <x v="168"/>
    <x v="168"/>
    <x v="168"/>
    <x v="168"/>
    <x v="163"/>
    <x v="163"/>
    <x v="163"/>
  </r>
  <r>
    <x v="0"/>
    <x v="169"/>
    <x v="169"/>
    <x v="0"/>
    <x v="0"/>
    <x v="2"/>
    <x v="169"/>
    <x v="167"/>
    <x v="169"/>
    <x v="169"/>
    <x v="169"/>
    <x v="169"/>
    <x v="169"/>
    <x v="0"/>
    <x v="0"/>
    <x v="169"/>
    <x v="169"/>
    <x v="169"/>
    <x v="169"/>
    <x v="164"/>
    <x v="164"/>
    <x v="164"/>
  </r>
  <r>
    <x v="0"/>
    <x v="170"/>
    <x v="170"/>
    <x v="0"/>
    <x v="0"/>
    <x v="1"/>
    <x v="170"/>
    <x v="168"/>
    <x v="170"/>
    <x v="170"/>
    <x v="170"/>
    <x v="170"/>
    <x v="170"/>
    <x v="0"/>
    <x v="0"/>
    <x v="170"/>
    <x v="170"/>
    <x v="170"/>
    <x v="170"/>
    <x v="165"/>
    <x v="165"/>
    <x v="165"/>
  </r>
  <r>
    <x v="0"/>
    <x v="171"/>
    <x v="171"/>
    <x v="0"/>
    <x v="0"/>
    <x v="4"/>
    <x v="171"/>
    <x v="169"/>
    <x v="171"/>
    <x v="171"/>
    <x v="171"/>
    <x v="171"/>
    <x v="171"/>
    <x v="0"/>
    <x v="0"/>
    <x v="171"/>
    <x v="171"/>
    <x v="171"/>
    <x v="171"/>
    <x v="166"/>
    <x v="166"/>
    <x v="166"/>
  </r>
  <r>
    <x v="0"/>
    <x v="172"/>
    <x v="172"/>
    <x v="0"/>
    <x v="0"/>
    <x v="4"/>
    <x v="172"/>
    <x v="170"/>
    <x v="172"/>
    <x v="172"/>
    <x v="172"/>
    <x v="172"/>
    <x v="172"/>
    <x v="0"/>
    <x v="0"/>
    <x v="172"/>
    <x v="172"/>
    <x v="172"/>
    <x v="172"/>
    <x v="167"/>
    <x v="167"/>
    <x v="167"/>
  </r>
  <r>
    <x v="0"/>
    <x v="173"/>
    <x v="173"/>
    <x v="0"/>
    <x v="0"/>
    <x v="4"/>
    <x v="173"/>
    <x v="171"/>
    <x v="173"/>
    <x v="173"/>
    <x v="173"/>
    <x v="173"/>
    <x v="173"/>
    <x v="0"/>
    <x v="0"/>
    <x v="173"/>
    <x v="173"/>
    <x v="173"/>
    <x v="173"/>
    <x v="168"/>
    <x v="168"/>
    <x v="168"/>
  </r>
  <r>
    <x v="0"/>
    <x v="174"/>
    <x v="174"/>
    <x v="0"/>
    <x v="0"/>
    <x v="1"/>
    <x v="174"/>
    <x v="172"/>
    <x v="174"/>
    <x v="174"/>
    <x v="174"/>
    <x v="174"/>
    <x v="174"/>
    <x v="0"/>
    <x v="0"/>
    <x v="174"/>
    <x v="174"/>
    <x v="174"/>
    <x v="174"/>
    <x v="169"/>
    <x v="169"/>
    <x v="169"/>
  </r>
  <r>
    <x v="0"/>
    <x v="175"/>
    <x v="175"/>
    <x v="0"/>
    <x v="0"/>
    <x v="0"/>
    <x v="175"/>
    <x v="173"/>
    <x v="175"/>
    <x v="175"/>
    <x v="175"/>
    <x v="175"/>
    <x v="175"/>
    <x v="0"/>
    <x v="0"/>
    <x v="175"/>
    <x v="175"/>
    <x v="175"/>
    <x v="175"/>
    <x v="170"/>
    <x v="170"/>
    <x v="170"/>
  </r>
  <r>
    <x v="0"/>
    <x v="176"/>
    <x v="176"/>
    <x v="0"/>
    <x v="0"/>
    <x v="0"/>
    <x v="176"/>
    <x v="174"/>
    <x v="176"/>
    <x v="176"/>
    <x v="176"/>
    <x v="176"/>
    <x v="176"/>
    <x v="0"/>
    <x v="0"/>
    <x v="176"/>
    <x v="176"/>
    <x v="176"/>
    <x v="176"/>
    <x v="171"/>
    <x v="171"/>
    <x v="171"/>
  </r>
  <r>
    <x v="0"/>
    <x v="177"/>
    <x v="177"/>
    <x v="0"/>
    <x v="0"/>
    <x v="0"/>
    <x v="177"/>
    <x v="175"/>
    <x v="177"/>
    <x v="177"/>
    <x v="177"/>
    <x v="177"/>
    <x v="177"/>
    <x v="0"/>
    <x v="0"/>
    <x v="177"/>
    <x v="177"/>
    <x v="177"/>
    <x v="177"/>
    <x v="172"/>
    <x v="172"/>
    <x v="172"/>
  </r>
  <r>
    <x v="0"/>
    <x v="178"/>
    <x v="178"/>
    <x v="0"/>
    <x v="0"/>
    <x v="6"/>
    <x v="178"/>
    <x v="176"/>
    <x v="178"/>
    <x v="178"/>
    <x v="178"/>
    <x v="178"/>
    <x v="178"/>
    <x v="0"/>
    <x v="0"/>
    <x v="178"/>
    <x v="178"/>
    <x v="178"/>
    <x v="178"/>
    <x v="173"/>
    <x v="173"/>
    <x v="173"/>
  </r>
  <r>
    <x v="0"/>
    <x v="179"/>
    <x v="179"/>
    <x v="0"/>
    <x v="0"/>
    <x v="0"/>
    <x v="179"/>
    <x v="177"/>
    <x v="179"/>
    <x v="179"/>
    <x v="179"/>
    <x v="179"/>
    <x v="179"/>
    <x v="0"/>
    <x v="0"/>
    <x v="179"/>
    <x v="179"/>
    <x v="179"/>
    <x v="179"/>
    <x v="174"/>
    <x v="174"/>
    <x v="174"/>
  </r>
  <r>
    <x v="0"/>
    <x v="180"/>
    <x v="180"/>
    <x v="0"/>
    <x v="0"/>
    <x v="0"/>
    <x v="180"/>
    <x v="178"/>
    <x v="180"/>
    <x v="180"/>
    <x v="180"/>
    <x v="180"/>
    <x v="180"/>
    <x v="0"/>
    <x v="0"/>
    <x v="180"/>
    <x v="180"/>
    <x v="180"/>
    <x v="180"/>
    <x v="175"/>
    <x v="175"/>
    <x v="175"/>
  </r>
  <r>
    <x v="0"/>
    <x v="181"/>
    <x v="181"/>
    <x v="0"/>
    <x v="0"/>
    <x v="0"/>
    <x v="181"/>
    <x v="179"/>
    <x v="181"/>
    <x v="181"/>
    <x v="181"/>
    <x v="181"/>
    <x v="181"/>
    <x v="0"/>
    <x v="0"/>
    <x v="181"/>
    <x v="181"/>
    <x v="181"/>
    <x v="181"/>
    <x v="176"/>
    <x v="176"/>
    <x v="176"/>
  </r>
  <r>
    <x v="0"/>
    <x v="182"/>
    <x v="182"/>
    <x v="0"/>
    <x v="0"/>
    <x v="0"/>
    <x v="182"/>
    <x v="180"/>
    <x v="182"/>
    <x v="182"/>
    <x v="182"/>
    <x v="182"/>
    <x v="182"/>
    <x v="0"/>
    <x v="0"/>
    <x v="182"/>
    <x v="182"/>
    <x v="182"/>
    <x v="182"/>
    <x v="177"/>
    <x v="177"/>
    <x v="177"/>
  </r>
  <r>
    <x v="0"/>
    <x v="183"/>
    <x v="183"/>
    <x v="0"/>
    <x v="0"/>
    <x v="2"/>
    <x v="183"/>
    <x v="181"/>
    <x v="183"/>
    <x v="183"/>
    <x v="183"/>
    <x v="183"/>
    <x v="183"/>
    <x v="0"/>
    <x v="0"/>
    <x v="183"/>
    <x v="183"/>
    <x v="183"/>
    <x v="183"/>
    <x v="178"/>
    <x v="178"/>
    <x v="178"/>
  </r>
  <r>
    <x v="0"/>
    <x v="184"/>
    <x v="184"/>
    <x v="0"/>
    <x v="0"/>
    <x v="3"/>
    <x v="184"/>
    <x v="182"/>
    <x v="184"/>
    <x v="184"/>
    <x v="184"/>
    <x v="184"/>
    <x v="184"/>
    <x v="10"/>
    <x v="10"/>
    <x v="184"/>
    <x v="184"/>
    <x v="184"/>
    <x v="184"/>
    <x v="179"/>
    <x v="179"/>
    <x v="179"/>
  </r>
  <r>
    <x v="0"/>
    <x v="185"/>
    <x v="185"/>
    <x v="0"/>
    <x v="0"/>
    <x v="6"/>
    <x v="185"/>
    <x v="183"/>
    <x v="185"/>
    <x v="185"/>
    <x v="185"/>
    <x v="185"/>
    <x v="185"/>
    <x v="0"/>
    <x v="0"/>
    <x v="185"/>
    <x v="185"/>
    <x v="185"/>
    <x v="185"/>
    <x v="180"/>
    <x v="180"/>
    <x v="180"/>
  </r>
  <r>
    <x v="0"/>
    <x v="186"/>
    <x v="186"/>
    <x v="0"/>
    <x v="0"/>
    <x v="4"/>
    <x v="186"/>
    <x v="184"/>
    <x v="186"/>
    <x v="186"/>
    <x v="186"/>
    <x v="186"/>
    <x v="186"/>
    <x v="0"/>
    <x v="0"/>
    <x v="186"/>
    <x v="186"/>
    <x v="186"/>
    <x v="186"/>
    <x v="181"/>
    <x v="181"/>
    <x v="181"/>
  </r>
  <r>
    <x v="0"/>
    <x v="187"/>
    <x v="187"/>
    <x v="0"/>
    <x v="0"/>
    <x v="4"/>
    <x v="187"/>
    <x v="185"/>
    <x v="187"/>
    <x v="187"/>
    <x v="187"/>
    <x v="187"/>
    <x v="187"/>
    <x v="0"/>
    <x v="0"/>
    <x v="187"/>
    <x v="187"/>
    <x v="187"/>
    <x v="187"/>
    <x v="138"/>
    <x v="182"/>
    <x v="182"/>
  </r>
  <r>
    <x v="0"/>
    <x v="188"/>
    <x v="188"/>
    <x v="0"/>
    <x v="0"/>
    <x v="1"/>
    <x v="188"/>
    <x v="186"/>
    <x v="188"/>
    <x v="188"/>
    <x v="188"/>
    <x v="188"/>
    <x v="188"/>
    <x v="0"/>
    <x v="0"/>
    <x v="188"/>
    <x v="188"/>
    <x v="188"/>
    <x v="188"/>
    <x v="182"/>
    <x v="183"/>
    <x v="183"/>
  </r>
  <r>
    <x v="0"/>
    <x v="189"/>
    <x v="189"/>
    <x v="0"/>
    <x v="0"/>
    <x v="5"/>
    <x v="189"/>
    <x v="187"/>
    <x v="189"/>
    <x v="189"/>
    <x v="189"/>
    <x v="189"/>
    <x v="189"/>
    <x v="11"/>
    <x v="11"/>
    <x v="189"/>
    <x v="189"/>
    <x v="189"/>
    <x v="189"/>
    <x v="183"/>
    <x v="184"/>
    <x v="184"/>
  </r>
  <r>
    <x v="0"/>
    <x v="190"/>
    <x v="190"/>
    <x v="0"/>
    <x v="0"/>
    <x v="0"/>
    <x v="190"/>
    <x v="188"/>
    <x v="190"/>
    <x v="190"/>
    <x v="190"/>
    <x v="190"/>
    <x v="190"/>
    <x v="0"/>
    <x v="0"/>
    <x v="190"/>
    <x v="190"/>
    <x v="190"/>
    <x v="190"/>
    <x v="184"/>
    <x v="185"/>
    <x v="185"/>
  </r>
  <r>
    <x v="0"/>
    <x v="191"/>
    <x v="191"/>
    <x v="0"/>
    <x v="0"/>
    <x v="4"/>
    <x v="191"/>
    <x v="189"/>
    <x v="191"/>
    <x v="191"/>
    <x v="191"/>
    <x v="191"/>
    <x v="191"/>
    <x v="0"/>
    <x v="0"/>
    <x v="191"/>
    <x v="191"/>
    <x v="191"/>
    <x v="191"/>
    <x v="122"/>
    <x v="186"/>
    <x v="186"/>
  </r>
  <r>
    <x v="0"/>
    <x v="192"/>
    <x v="192"/>
    <x v="0"/>
    <x v="0"/>
    <x v="0"/>
    <x v="192"/>
    <x v="190"/>
    <x v="192"/>
    <x v="192"/>
    <x v="192"/>
    <x v="192"/>
    <x v="192"/>
    <x v="0"/>
    <x v="0"/>
    <x v="192"/>
    <x v="192"/>
    <x v="192"/>
    <x v="192"/>
    <x v="185"/>
    <x v="187"/>
    <x v="187"/>
  </r>
  <r>
    <x v="0"/>
    <x v="193"/>
    <x v="193"/>
    <x v="0"/>
    <x v="0"/>
    <x v="1"/>
    <x v="193"/>
    <x v="191"/>
    <x v="193"/>
    <x v="193"/>
    <x v="193"/>
    <x v="193"/>
    <x v="193"/>
    <x v="0"/>
    <x v="0"/>
    <x v="193"/>
    <x v="193"/>
    <x v="193"/>
    <x v="193"/>
    <x v="186"/>
    <x v="188"/>
    <x v="188"/>
  </r>
  <r>
    <x v="0"/>
    <x v="194"/>
    <x v="194"/>
    <x v="0"/>
    <x v="0"/>
    <x v="4"/>
    <x v="194"/>
    <x v="192"/>
    <x v="194"/>
    <x v="194"/>
    <x v="194"/>
    <x v="194"/>
    <x v="194"/>
    <x v="0"/>
    <x v="0"/>
    <x v="194"/>
    <x v="194"/>
    <x v="194"/>
    <x v="194"/>
    <x v="187"/>
    <x v="189"/>
    <x v="189"/>
  </r>
  <r>
    <x v="0"/>
    <x v="195"/>
    <x v="195"/>
    <x v="0"/>
    <x v="0"/>
    <x v="4"/>
    <x v="195"/>
    <x v="193"/>
    <x v="195"/>
    <x v="195"/>
    <x v="195"/>
    <x v="195"/>
    <x v="195"/>
    <x v="0"/>
    <x v="0"/>
    <x v="195"/>
    <x v="195"/>
    <x v="195"/>
    <x v="195"/>
    <x v="188"/>
    <x v="190"/>
    <x v="190"/>
  </r>
  <r>
    <x v="0"/>
    <x v="196"/>
    <x v="196"/>
    <x v="0"/>
    <x v="0"/>
    <x v="4"/>
    <x v="196"/>
    <x v="194"/>
    <x v="196"/>
    <x v="196"/>
    <x v="196"/>
    <x v="196"/>
    <x v="196"/>
    <x v="0"/>
    <x v="0"/>
    <x v="196"/>
    <x v="196"/>
    <x v="196"/>
    <x v="196"/>
    <x v="189"/>
    <x v="191"/>
    <x v="191"/>
  </r>
  <r>
    <x v="0"/>
    <x v="197"/>
    <x v="197"/>
    <x v="0"/>
    <x v="0"/>
    <x v="1"/>
    <x v="197"/>
    <x v="195"/>
    <x v="197"/>
    <x v="197"/>
    <x v="197"/>
    <x v="197"/>
    <x v="197"/>
    <x v="0"/>
    <x v="0"/>
    <x v="197"/>
    <x v="197"/>
    <x v="197"/>
    <x v="197"/>
    <x v="190"/>
    <x v="192"/>
    <x v="192"/>
  </r>
  <r>
    <x v="0"/>
    <x v="198"/>
    <x v="198"/>
    <x v="0"/>
    <x v="0"/>
    <x v="2"/>
    <x v="198"/>
    <x v="196"/>
    <x v="198"/>
    <x v="198"/>
    <x v="198"/>
    <x v="198"/>
    <x v="198"/>
    <x v="0"/>
    <x v="0"/>
    <x v="198"/>
    <x v="198"/>
    <x v="198"/>
    <x v="198"/>
    <x v="191"/>
    <x v="193"/>
    <x v="193"/>
  </r>
  <r>
    <x v="0"/>
    <x v="199"/>
    <x v="199"/>
    <x v="0"/>
    <x v="0"/>
    <x v="4"/>
    <x v="199"/>
    <x v="197"/>
    <x v="199"/>
    <x v="199"/>
    <x v="199"/>
    <x v="199"/>
    <x v="199"/>
    <x v="0"/>
    <x v="0"/>
    <x v="199"/>
    <x v="199"/>
    <x v="199"/>
    <x v="199"/>
    <x v="192"/>
    <x v="194"/>
    <x v="194"/>
  </r>
  <r>
    <x v="0"/>
    <x v="200"/>
    <x v="200"/>
    <x v="0"/>
    <x v="0"/>
    <x v="4"/>
    <x v="200"/>
    <x v="198"/>
    <x v="200"/>
    <x v="200"/>
    <x v="200"/>
    <x v="200"/>
    <x v="200"/>
    <x v="0"/>
    <x v="0"/>
    <x v="200"/>
    <x v="200"/>
    <x v="200"/>
    <x v="200"/>
    <x v="193"/>
    <x v="195"/>
    <x v="195"/>
  </r>
  <r>
    <x v="0"/>
    <x v="201"/>
    <x v="201"/>
    <x v="0"/>
    <x v="0"/>
    <x v="0"/>
    <x v="201"/>
    <x v="199"/>
    <x v="201"/>
    <x v="201"/>
    <x v="201"/>
    <x v="201"/>
    <x v="201"/>
    <x v="0"/>
    <x v="0"/>
    <x v="201"/>
    <x v="201"/>
    <x v="201"/>
    <x v="201"/>
    <x v="194"/>
    <x v="196"/>
    <x v="196"/>
  </r>
  <r>
    <x v="0"/>
    <x v="202"/>
    <x v="202"/>
    <x v="0"/>
    <x v="0"/>
    <x v="4"/>
    <x v="202"/>
    <x v="200"/>
    <x v="202"/>
    <x v="202"/>
    <x v="202"/>
    <x v="202"/>
    <x v="202"/>
    <x v="0"/>
    <x v="0"/>
    <x v="202"/>
    <x v="202"/>
    <x v="202"/>
    <x v="202"/>
    <x v="195"/>
    <x v="197"/>
    <x v="197"/>
  </r>
  <r>
    <x v="0"/>
    <x v="203"/>
    <x v="203"/>
    <x v="0"/>
    <x v="0"/>
    <x v="4"/>
    <x v="203"/>
    <x v="201"/>
    <x v="203"/>
    <x v="203"/>
    <x v="203"/>
    <x v="203"/>
    <x v="203"/>
    <x v="0"/>
    <x v="0"/>
    <x v="203"/>
    <x v="203"/>
    <x v="203"/>
    <x v="203"/>
    <x v="196"/>
    <x v="198"/>
    <x v="198"/>
  </r>
  <r>
    <x v="0"/>
    <x v="204"/>
    <x v="204"/>
    <x v="0"/>
    <x v="0"/>
    <x v="0"/>
    <x v="204"/>
    <x v="202"/>
    <x v="204"/>
    <x v="204"/>
    <x v="204"/>
    <x v="204"/>
    <x v="204"/>
    <x v="0"/>
    <x v="0"/>
    <x v="204"/>
    <x v="204"/>
    <x v="204"/>
    <x v="204"/>
    <x v="197"/>
    <x v="199"/>
    <x v="199"/>
  </r>
  <r>
    <x v="0"/>
    <x v="205"/>
    <x v="205"/>
    <x v="0"/>
    <x v="0"/>
    <x v="1"/>
    <x v="205"/>
    <x v="203"/>
    <x v="205"/>
    <x v="205"/>
    <x v="205"/>
    <x v="205"/>
    <x v="205"/>
    <x v="0"/>
    <x v="0"/>
    <x v="205"/>
    <x v="205"/>
    <x v="205"/>
    <x v="205"/>
    <x v="198"/>
    <x v="200"/>
    <x v="200"/>
  </r>
  <r>
    <x v="0"/>
    <x v="206"/>
    <x v="206"/>
    <x v="0"/>
    <x v="0"/>
    <x v="1"/>
    <x v="206"/>
    <x v="204"/>
    <x v="206"/>
    <x v="206"/>
    <x v="206"/>
    <x v="206"/>
    <x v="206"/>
    <x v="0"/>
    <x v="0"/>
    <x v="206"/>
    <x v="206"/>
    <x v="206"/>
    <x v="206"/>
    <x v="199"/>
    <x v="201"/>
    <x v="201"/>
  </r>
  <r>
    <x v="0"/>
    <x v="207"/>
    <x v="207"/>
    <x v="0"/>
    <x v="0"/>
    <x v="1"/>
    <x v="207"/>
    <x v="205"/>
    <x v="207"/>
    <x v="207"/>
    <x v="207"/>
    <x v="207"/>
    <x v="207"/>
    <x v="0"/>
    <x v="0"/>
    <x v="207"/>
    <x v="207"/>
    <x v="207"/>
    <x v="207"/>
    <x v="200"/>
    <x v="202"/>
    <x v="202"/>
  </r>
  <r>
    <x v="0"/>
    <x v="208"/>
    <x v="208"/>
    <x v="0"/>
    <x v="0"/>
    <x v="0"/>
    <x v="208"/>
    <x v="206"/>
    <x v="208"/>
    <x v="208"/>
    <x v="208"/>
    <x v="208"/>
    <x v="208"/>
    <x v="0"/>
    <x v="0"/>
    <x v="208"/>
    <x v="208"/>
    <x v="208"/>
    <x v="208"/>
    <x v="201"/>
    <x v="203"/>
    <x v="203"/>
  </r>
  <r>
    <x v="0"/>
    <x v="209"/>
    <x v="209"/>
    <x v="0"/>
    <x v="0"/>
    <x v="4"/>
    <x v="209"/>
    <x v="207"/>
    <x v="209"/>
    <x v="209"/>
    <x v="209"/>
    <x v="209"/>
    <x v="209"/>
    <x v="0"/>
    <x v="0"/>
    <x v="209"/>
    <x v="209"/>
    <x v="209"/>
    <x v="209"/>
    <x v="202"/>
    <x v="204"/>
    <x v="204"/>
  </r>
  <r>
    <x v="0"/>
    <x v="210"/>
    <x v="210"/>
    <x v="0"/>
    <x v="0"/>
    <x v="6"/>
    <x v="210"/>
    <x v="208"/>
    <x v="210"/>
    <x v="210"/>
    <x v="210"/>
    <x v="210"/>
    <x v="210"/>
    <x v="0"/>
    <x v="0"/>
    <x v="210"/>
    <x v="210"/>
    <x v="210"/>
    <x v="210"/>
    <x v="203"/>
    <x v="205"/>
    <x v="205"/>
  </r>
  <r>
    <x v="0"/>
    <x v="211"/>
    <x v="211"/>
    <x v="0"/>
    <x v="0"/>
    <x v="4"/>
    <x v="211"/>
    <x v="209"/>
    <x v="211"/>
    <x v="211"/>
    <x v="211"/>
    <x v="211"/>
    <x v="211"/>
    <x v="0"/>
    <x v="0"/>
    <x v="211"/>
    <x v="211"/>
    <x v="211"/>
    <x v="211"/>
    <x v="204"/>
    <x v="206"/>
    <x v="206"/>
  </r>
  <r>
    <x v="0"/>
    <x v="212"/>
    <x v="212"/>
    <x v="0"/>
    <x v="0"/>
    <x v="1"/>
    <x v="212"/>
    <x v="210"/>
    <x v="212"/>
    <x v="212"/>
    <x v="212"/>
    <x v="212"/>
    <x v="212"/>
    <x v="0"/>
    <x v="0"/>
    <x v="212"/>
    <x v="212"/>
    <x v="212"/>
    <x v="212"/>
    <x v="205"/>
    <x v="207"/>
    <x v="207"/>
  </r>
  <r>
    <x v="0"/>
    <x v="213"/>
    <x v="213"/>
    <x v="0"/>
    <x v="0"/>
    <x v="5"/>
    <x v="213"/>
    <x v="211"/>
    <x v="213"/>
    <x v="213"/>
    <x v="213"/>
    <x v="213"/>
    <x v="213"/>
    <x v="0"/>
    <x v="0"/>
    <x v="213"/>
    <x v="213"/>
    <x v="213"/>
    <x v="213"/>
    <x v="206"/>
    <x v="208"/>
    <x v="208"/>
  </r>
  <r>
    <x v="0"/>
    <x v="214"/>
    <x v="214"/>
    <x v="0"/>
    <x v="0"/>
    <x v="4"/>
    <x v="214"/>
    <x v="212"/>
    <x v="214"/>
    <x v="214"/>
    <x v="214"/>
    <x v="214"/>
    <x v="214"/>
    <x v="0"/>
    <x v="0"/>
    <x v="214"/>
    <x v="214"/>
    <x v="214"/>
    <x v="214"/>
    <x v="207"/>
    <x v="209"/>
    <x v="209"/>
  </r>
  <r>
    <x v="0"/>
    <x v="215"/>
    <x v="215"/>
    <x v="0"/>
    <x v="0"/>
    <x v="5"/>
    <x v="215"/>
    <x v="213"/>
    <x v="215"/>
    <x v="215"/>
    <x v="215"/>
    <x v="215"/>
    <x v="215"/>
    <x v="0"/>
    <x v="0"/>
    <x v="215"/>
    <x v="215"/>
    <x v="215"/>
    <x v="215"/>
    <x v="208"/>
    <x v="210"/>
    <x v="210"/>
  </r>
  <r>
    <x v="0"/>
    <x v="216"/>
    <x v="216"/>
    <x v="0"/>
    <x v="0"/>
    <x v="0"/>
    <x v="216"/>
    <x v="214"/>
    <x v="216"/>
    <x v="216"/>
    <x v="216"/>
    <x v="216"/>
    <x v="216"/>
    <x v="0"/>
    <x v="0"/>
    <x v="216"/>
    <x v="216"/>
    <x v="216"/>
    <x v="216"/>
    <x v="209"/>
    <x v="211"/>
    <x v="211"/>
  </r>
  <r>
    <x v="0"/>
    <x v="217"/>
    <x v="217"/>
    <x v="0"/>
    <x v="0"/>
    <x v="0"/>
    <x v="217"/>
    <x v="215"/>
    <x v="217"/>
    <x v="217"/>
    <x v="217"/>
    <x v="217"/>
    <x v="217"/>
    <x v="0"/>
    <x v="0"/>
    <x v="217"/>
    <x v="217"/>
    <x v="217"/>
    <x v="217"/>
    <x v="210"/>
    <x v="212"/>
    <x v="212"/>
  </r>
  <r>
    <x v="0"/>
    <x v="218"/>
    <x v="218"/>
    <x v="0"/>
    <x v="0"/>
    <x v="4"/>
    <x v="218"/>
    <x v="216"/>
    <x v="218"/>
    <x v="218"/>
    <x v="218"/>
    <x v="218"/>
    <x v="218"/>
    <x v="0"/>
    <x v="0"/>
    <x v="218"/>
    <x v="218"/>
    <x v="218"/>
    <x v="218"/>
    <x v="211"/>
    <x v="213"/>
    <x v="213"/>
  </r>
  <r>
    <x v="0"/>
    <x v="219"/>
    <x v="219"/>
    <x v="0"/>
    <x v="0"/>
    <x v="4"/>
    <x v="219"/>
    <x v="217"/>
    <x v="219"/>
    <x v="219"/>
    <x v="219"/>
    <x v="219"/>
    <x v="219"/>
    <x v="0"/>
    <x v="0"/>
    <x v="219"/>
    <x v="219"/>
    <x v="219"/>
    <x v="219"/>
    <x v="212"/>
    <x v="214"/>
    <x v="214"/>
  </r>
  <r>
    <x v="0"/>
    <x v="220"/>
    <x v="220"/>
    <x v="0"/>
    <x v="0"/>
    <x v="4"/>
    <x v="220"/>
    <x v="218"/>
    <x v="220"/>
    <x v="220"/>
    <x v="220"/>
    <x v="220"/>
    <x v="220"/>
    <x v="0"/>
    <x v="0"/>
    <x v="220"/>
    <x v="220"/>
    <x v="220"/>
    <x v="220"/>
    <x v="213"/>
    <x v="215"/>
    <x v="215"/>
  </r>
  <r>
    <x v="0"/>
    <x v="221"/>
    <x v="221"/>
    <x v="0"/>
    <x v="0"/>
    <x v="4"/>
    <x v="221"/>
    <x v="219"/>
    <x v="221"/>
    <x v="221"/>
    <x v="221"/>
    <x v="221"/>
    <x v="221"/>
    <x v="0"/>
    <x v="0"/>
    <x v="221"/>
    <x v="221"/>
    <x v="221"/>
    <x v="221"/>
    <x v="214"/>
    <x v="216"/>
    <x v="216"/>
  </r>
  <r>
    <x v="0"/>
    <x v="222"/>
    <x v="222"/>
    <x v="0"/>
    <x v="0"/>
    <x v="5"/>
    <x v="222"/>
    <x v="220"/>
    <x v="222"/>
    <x v="222"/>
    <x v="222"/>
    <x v="222"/>
    <x v="222"/>
    <x v="12"/>
    <x v="12"/>
    <x v="222"/>
    <x v="222"/>
    <x v="222"/>
    <x v="222"/>
    <x v="215"/>
    <x v="217"/>
    <x v="217"/>
  </r>
  <r>
    <x v="0"/>
    <x v="223"/>
    <x v="223"/>
    <x v="0"/>
    <x v="0"/>
    <x v="0"/>
    <x v="223"/>
    <x v="221"/>
    <x v="223"/>
    <x v="223"/>
    <x v="223"/>
    <x v="223"/>
    <x v="223"/>
    <x v="0"/>
    <x v="0"/>
    <x v="223"/>
    <x v="223"/>
    <x v="223"/>
    <x v="223"/>
    <x v="216"/>
    <x v="218"/>
    <x v="218"/>
  </r>
  <r>
    <x v="0"/>
    <x v="224"/>
    <x v="224"/>
    <x v="0"/>
    <x v="0"/>
    <x v="0"/>
    <x v="224"/>
    <x v="222"/>
    <x v="224"/>
    <x v="224"/>
    <x v="224"/>
    <x v="224"/>
    <x v="224"/>
    <x v="0"/>
    <x v="0"/>
    <x v="224"/>
    <x v="224"/>
    <x v="224"/>
    <x v="224"/>
    <x v="217"/>
    <x v="219"/>
    <x v="219"/>
  </r>
  <r>
    <x v="0"/>
    <x v="225"/>
    <x v="225"/>
    <x v="0"/>
    <x v="0"/>
    <x v="0"/>
    <x v="225"/>
    <x v="223"/>
    <x v="225"/>
    <x v="225"/>
    <x v="225"/>
    <x v="225"/>
    <x v="225"/>
    <x v="0"/>
    <x v="0"/>
    <x v="225"/>
    <x v="225"/>
    <x v="225"/>
    <x v="225"/>
    <x v="218"/>
    <x v="220"/>
    <x v="220"/>
  </r>
  <r>
    <x v="0"/>
    <x v="226"/>
    <x v="226"/>
    <x v="0"/>
    <x v="0"/>
    <x v="4"/>
    <x v="226"/>
    <x v="224"/>
    <x v="226"/>
    <x v="226"/>
    <x v="226"/>
    <x v="226"/>
    <x v="226"/>
    <x v="0"/>
    <x v="0"/>
    <x v="226"/>
    <x v="226"/>
    <x v="226"/>
    <x v="226"/>
    <x v="214"/>
    <x v="221"/>
    <x v="221"/>
  </r>
  <r>
    <x v="0"/>
    <x v="227"/>
    <x v="227"/>
    <x v="0"/>
    <x v="0"/>
    <x v="4"/>
    <x v="227"/>
    <x v="225"/>
    <x v="227"/>
    <x v="226"/>
    <x v="227"/>
    <x v="227"/>
    <x v="227"/>
    <x v="0"/>
    <x v="0"/>
    <x v="227"/>
    <x v="227"/>
    <x v="227"/>
    <x v="227"/>
    <x v="219"/>
    <x v="222"/>
    <x v="222"/>
  </r>
  <r>
    <x v="0"/>
    <x v="228"/>
    <x v="228"/>
    <x v="0"/>
    <x v="0"/>
    <x v="1"/>
    <x v="228"/>
    <x v="226"/>
    <x v="228"/>
    <x v="227"/>
    <x v="228"/>
    <x v="228"/>
    <x v="228"/>
    <x v="0"/>
    <x v="0"/>
    <x v="228"/>
    <x v="228"/>
    <x v="228"/>
    <x v="228"/>
    <x v="220"/>
    <x v="223"/>
    <x v="223"/>
  </r>
  <r>
    <x v="0"/>
    <x v="229"/>
    <x v="229"/>
    <x v="0"/>
    <x v="0"/>
    <x v="4"/>
    <x v="229"/>
    <x v="227"/>
    <x v="229"/>
    <x v="228"/>
    <x v="229"/>
    <x v="229"/>
    <x v="229"/>
    <x v="0"/>
    <x v="0"/>
    <x v="229"/>
    <x v="229"/>
    <x v="229"/>
    <x v="229"/>
    <x v="221"/>
    <x v="224"/>
    <x v="224"/>
  </r>
  <r>
    <x v="0"/>
    <x v="230"/>
    <x v="230"/>
    <x v="0"/>
    <x v="0"/>
    <x v="0"/>
    <x v="230"/>
    <x v="228"/>
    <x v="230"/>
    <x v="229"/>
    <x v="230"/>
    <x v="230"/>
    <x v="230"/>
    <x v="0"/>
    <x v="0"/>
    <x v="230"/>
    <x v="230"/>
    <x v="230"/>
    <x v="230"/>
    <x v="222"/>
    <x v="225"/>
    <x v="225"/>
  </r>
  <r>
    <x v="0"/>
    <x v="231"/>
    <x v="231"/>
    <x v="0"/>
    <x v="0"/>
    <x v="5"/>
    <x v="231"/>
    <x v="229"/>
    <x v="231"/>
    <x v="230"/>
    <x v="231"/>
    <x v="231"/>
    <x v="231"/>
    <x v="0"/>
    <x v="0"/>
    <x v="231"/>
    <x v="231"/>
    <x v="231"/>
    <x v="231"/>
    <x v="223"/>
    <x v="226"/>
    <x v="226"/>
  </r>
  <r>
    <x v="0"/>
    <x v="232"/>
    <x v="232"/>
    <x v="0"/>
    <x v="0"/>
    <x v="2"/>
    <x v="232"/>
    <x v="230"/>
    <x v="232"/>
    <x v="231"/>
    <x v="232"/>
    <x v="232"/>
    <x v="232"/>
    <x v="0"/>
    <x v="0"/>
    <x v="232"/>
    <x v="232"/>
    <x v="232"/>
    <x v="232"/>
    <x v="224"/>
    <x v="227"/>
    <x v="227"/>
  </r>
  <r>
    <x v="0"/>
    <x v="233"/>
    <x v="233"/>
    <x v="0"/>
    <x v="0"/>
    <x v="2"/>
    <x v="233"/>
    <x v="231"/>
    <x v="233"/>
    <x v="232"/>
    <x v="233"/>
    <x v="233"/>
    <x v="233"/>
    <x v="0"/>
    <x v="0"/>
    <x v="233"/>
    <x v="233"/>
    <x v="233"/>
    <x v="233"/>
    <x v="225"/>
    <x v="228"/>
    <x v="228"/>
  </r>
  <r>
    <x v="0"/>
    <x v="234"/>
    <x v="234"/>
    <x v="0"/>
    <x v="0"/>
    <x v="4"/>
    <x v="234"/>
    <x v="232"/>
    <x v="234"/>
    <x v="233"/>
    <x v="234"/>
    <x v="234"/>
    <x v="234"/>
    <x v="0"/>
    <x v="0"/>
    <x v="234"/>
    <x v="234"/>
    <x v="234"/>
    <x v="234"/>
    <x v="135"/>
    <x v="229"/>
    <x v="229"/>
  </r>
  <r>
    <x v="0"/>
    <x v="235"/>
    <x v="235"/>
    <x v="0"/>
    <x v="0"/>
    <x v="4"/>
    <x v="235"/>
    <x v="233"/>
    <x v="235"/>
    <x v="234"/>
    <x v="235"/>
    <x v="235"/>
    <x v="235"/>
    <x v="0"/>
    <x v="0"/>
    <x v="235"/>
    <x v="235"/>
    <x v="235"/>
    <x v="235"/>
    <x v="226"/>
    <x v="230"/>
    <x v="230"/>
  </r>
  <r>
    <x v="0"/>
    <x v="236"/>
    <x v="236"/>
    <x v="0"/>
    <x v="0"/>
    <x v="3"/>
    <x v="236"/>
    <x v="222"/>
    <x v="236"/>
    <x v="235"/>
    <x v="236"/>
    <x v="236"/>
    <x v="236"/>
    <x v="13"/>
    <x v="13"/>
    <x v="236"/>
    <x v="236"/>
    <x v="236"/>
    <x v="236"/>
    <x v="227"/>
    <x v="231"/>
    <x v="231"/>
  </r>
  <r>
    <x v="0"/>
    <x v="237"/>
    <x v="237"/>
    <x v="0"/>
    <x v="0"/>
    <x v="4"/>
    <x v="237"/>
    <x v="234"/>
    <x v="237"/>
    <x v="236"/>
    <x v="237"/>
    <x v="237"/>
    <x v="237"/>
    <x v="0"/>
    <x v="0"/>
    <x v="237"/>
    <x v="237"/>
    <x v="237"/>
    <x v="237"/>
    <x v="228"/>
    <x v="232"/>
    <x v="232"/>
  </r>
  <r>
    <x v="0"/>
    <x v="238"/>
    <x v="238"/>
    <x v="0"/>
    <x v="0"/>
    <x v="0"/>
    <x v="238"/>
    <x v="235"/>
    <x v="238"/>
    <x v="237"/>
    <x v="238"/>
    <x v="238"/>
    <x v="238"/>
    <x v="0"/>
    <x v="0"/>
    <x v="238"/>
    <x v="238"/>
    <x v="238"/>
    <x v="238"/>
    <x v="229"/>
    <x v="233"/>
    <x v="233"/>
  </r>
  <r>
    <x v="0"/>
    <x v="239"/>
    <x v="239"/>
    <x v="0"/>
    <x v="0"/>
    <x v="4"/>
    <x v="239"/>
    <x v="236"/>
    <x v="239"/>
    <x v="238"/>
    <x v="239"/>
    <x v="239"/>
    <x v="239"/>
    <x v="0"/>
    <x v="0"/>
    <x v="239"/>
    <x v="239"/>
    <x v="239"/>
    <x v="239"/>
    <x v="230"/>
    <x v="234"/>
    <x v="234"/>
  </r>
  <r>
    <x v="0"/>
    <x v="240"/>
    <x v="240"/>
    <x v="0"/>
    <x v="0"/>
    <x v="5"/>
    <x v="240"/>
    <x v="237"/>
    <x v="240"/>
    <x v="239"/>
    <x v="240"/>
    <x v="240"/>
    <x v="240"/>
    <x v="14"/>
    <x v="14"/>
    <x v="240"/>
    <x v="240"/>
    <x v="240"/>
    <x v="240"/>
    <x v="231"/>
    <x v="235"/>
    <x v="235"/>
  </r>
  <r>
    <x v="0"/>
    <x v="241"/>
    <x v="241"/>
    <x v="0"/>
    <x v="0"/>
    <x v="1"/>
    <x v="241"/>
    <x v="238"/>
    <x v="241"/>
    <x v="240"/>
    <x v="241"/>
    <x v="241"/>
    <x v="241"/>
    <x v="0"/>
    <x v="0"/>
    <x v="241"/>
    <x v="241"/>
    <x v="241"/>
    <x v="241"/>
    <x v="232"/>
    <x v="236"/>
    <x v="236"/>
  </r>
  <r>
    <x v="0"/>
    <x v="242"/>
    <x v="242"/>
    <x v="0"/>
    <x v="0"/>
    <x v="0"/>
    <x v="242"/>
    <x v="215"/>
    <x v="242"/>
    <x v="241"/>
    <x v="242"/>
    <x v="242"/>
    <x v="242"/>
    <x v="0"/>
    <x v="0"/>
    <x v="242"/>
    <x v="242"/>
    <x v="242"/>
    <x v="242"/>
    <x v="233"/>
    <x v="237"/>
    <x v="237"/>
  </r>
  <r>
    <x v="0"/>
    <x v="243"/>
    <x v="243"/>
    <x v="0"/>
    <x v="0"/>
    <x v="4"/>
    <x v="243"/>
    <x v="239"/>
    <x v="243"/>
    <x v="242"/>
    <x v="243"/>
    <x v="243"/>
    <x v="243"/>
    <x v="0"/>
    <x v="0"/>
    <x v="243"/>
    <x v="243"/>
    <x v="243"/>
    <x v="243"/>
    <x v="234"/>
    <x v="238"/>
    <x v="238"/>
  </r>
  <r>
    <x v="0"/>
    <x v="244"/>
    <x v="244"/>
    <x v="0"/>
    <x v="0"/>
    <x v="4"/>
    <x v="244"/>
    <x v="240"/>
    <x v="244"/>
    <x v="243"/>
    <x v="244"/>
    <x v="244"/>
    <x v="244"/>
    <x v="0"/>
    <x v="0"/>
    <x v="244"/>
    <x v="244"/>
    <x v="244"/>
    <x v="244"/>
    <x v="235"/>
    <x v="239"/>
    <x v="239"/>
  </r>
  <r>
    <x v="0"/>
    <x v="245"/>
    <x v="245"/>
    <x v="0"/>
    <x v="0"/>
    <x v="4"/>
    <x v="245"/>
    <x v="189"/>
    <x v="245"/>
    <x v="244"/>
    <x v="245"/>
    <x v="245"/>
    <x v="245"/>
    <x v="0"/>
    <x v="0"/>
    <x v="245"/>
    <x v="245"/>
    <x v="245"/>
    <x v="245"/>
    <x v="236"/>
    <x v="240"/>
    <x v="240"/>
  </r>
  <r>
    <x v="0"/>
    <x v="246"/>
    <x v="246"/>
    <x v="0"/>
    <x v="0"/>
    <x v="5"/>
    <x v="246"/>
    <x v="241"/>
    <x v="246"/>
    <x v="245"/>
    <x v="246"/>
    <x v="246"/>
    <x v="246"/>
    <x v="0"/>
    <x v="0"/>
    <x v="246"/>
    <x v="246"/>
    <x v="246"/>
    <x v="246"/>
    <x v="237"/>
    <x v="241"/>
    <x v="241"/>
  </r>
  <r>
    <x v="0"/>
    <x v="247"/>
    <x v="247"/>
    <x v="0"/>
    <x v="0"/>
    <x v="0"/>
    <x v="247"/>
    <x v="242"/>
    <x v="247"/>
    <x v="246"/>
    <x v="247"/>
    <x v="247"/>
    <x v="247"/>
    <x v="0"/>
    <x v="0"/>
    <x v="247"/>
    <x v="247"/>
    <x v="247"/>
    <x v="247"/>
    <x v="238"/>
    <x v="242"/>
    <x v="242"/>
  </r>
  <r>
    <x v="0"/>
    <x v="248"/>
    <x v="248"/>
    <x v="0"/>
    <x v="0"/>
    <x v="4"/>
    <x v="248"/>
    <x v="243"/>
    <x v="248"/>
    <x v="247"/>
    <x v="248"/>
    <x v="248"/>
    <x v="248"/>
    <x v="0"/>
    <x v="0"/>
    <x v="248"/>
    <x v="248"/>
    <x v="248"/>
    <x v="248"/>
    <x v="239"/>
    <x v="243"/>
    <x v="243"/>
  </r>
  <r>
    <x v="0"/>
    <x v="249"/>
    <x v="249"/>
    <x v="0"/>
    <x v="0"/>
    <x v="1"/>
    <x v="249"/>
    <x v="244"/>
    <x v="249"/>
    <x v="248"/>
    <x v="249"/>
    <x v="249"/>
    <x v="249"/>
    <x v="0"/>
    <x v="0"/>
    <x v="249"/>
    <x v="249"/>
    <x v="249"/>
    <x v="249"/>
    <x v="240"/>
    <x v="244"/>
    <x v="244"/>
  </r>
  <r>
    <x v="0"/>
    <x v="250"/>
    <x v="250"/>
    <x v="0"/>
    <x v="0"/>
    <x v="4"/>
    <x v="250"/>
    <x v="245"/>
    <x v="250"/>
    <x v="249"/>
    <x v="250"/>
    <x v="250"/>
    <x v="250"/>
    <x v="0"/>
    <x v="0"/>
    <x v="250"/>
    <x v="250"/>
    <x v="250"/>
    <x v="250"/>
    <x v="241"/>
    <x v="245"/>
    <x v="245"/>
  </r>
  <r>
    <x v="0"/>
    <x v="251"/>
    <x v="251"/>
    <x v="0"/>
    <x v="0"/>
    <x v="4"/>
    <x v="251"/>
    <x v="246"/>
    <x v="251"/>
    <x v="250"/>
    <x v="251"/>
    <x v="251"/>
    <x v="251"/>
    <x v="0"/>
    <x v="0"/>
    <x v="251"/>
    <x v="251"/>
    <x v="251"/>
    <x v="251"/>
    <x v="242"/>
    <x v="246"/>
    <x v="246"/>
  </r>
  <r>
    <x v="0"/>
    <x v="252"/>
    <x v="252"/>
    <x v="0"/>
    <x v="0"/>
    <x v="4"/>
    <x v="252"/>
    <x v="247"/>
    <x v="252"/>
    <x v="251"/>
    <x v="252"/>
    <x v="252"/>
    <x v="252"/>
    <x v="0"/>
    <x v="0"/>
    <x v="252"/>
    <x v="252"/>
    <x v="252"/>
    <x v="252"/>
    <x v="243"/>
    <x v="247"/>
    <x v="247"/>
  </r>
  <r>
    <x v="0"/>
    <x v="253"/>
    <x v="253"/>
    <x v="0"/>
    <x v="0"/>
    <x v="0"/>
    <x v="253"/>
    <x v="248"/>
    <x v="253"/>
    <x v="252"/>
    <x v="253"/>
    <x v="253"/>
    <x v="253"/>
    <x v="0"/>
    <x v="0"/>
    <x v="253"/>
    <x v="253"/>
    <x v="253"/>
    <x v="253"/>
    <x v="244"/>
    <x v="248"/>
    <x v="248"/>
  </r>
  <r>
    <x v="0"/>
    <x v="254"/>
    <x v="254"/>
    <x v="0"/>
    <x v="0"/>
    <x v="4"/>
    <x v="254"/>
    <x v="249"/>
    <x v="254"/>
    <x v="253"/>
    <x v="254"/>
    <x v="254"/>
    <x v="254"/>
    <x v="0"/>
    <x v="0"/>
    <x v="254"/>
    <x v="254"/>
    <x v="254"/>
    <x v="254"/>
    <x v="245"/>
    <x v="249"/>
    <x v="249"/>
  </r>
  <r>
    <x v="0"/>
    <x v="255"/>
    <x v="255"/>
    <x v="0"/>
    <x v="0"/>
    <x v="3"/>
    <x v="255"/>
    <x v="250"/>
    <x v="255"/>
    <x v="254"/>
    <x v="255"/>
    <x v="255"/>
    <x v="255"/>
    <x v="0"/>
    <x v="0"/>
    <x v="255"/>
    <x v="255"/>
    <x v="255"/>
    <x v="255"/>
    <x v="246"/>
    <x v="250"/>
    <x v="250"/>
  </r>
  <r>
    <x v="0"/>
    <x v="256"/>
    <x v="256"/>
    <x v="0"/>
    <x v="0"/>
    <x v="2"/>
    <x v="256"/>
    <x v="251"/>
    <x v="256"/>
    <x v="255"/>
    <x v="256"/>
    <x v="256"/>
    <x v="256"/>
    <x v="0"/>
    <x v="0"/>
    <x v="256"/>
    <x v="256"/>
    <x v="222"/>
    <x v="256"/>
    <x v="247"/>
    <x v="251"/>
    <x v="251"/>
  </r>
  <r>
    <x v="0"/>
    <x v="257"/>
    <x v="257"/>
    <x v="0"/>
    <x v="0"/>
    <x v="0"/>
    <x v="257"/>
    <x v="208"/>
    <x v="257"/>
    <x v="256"/>
    <x v="257"/>
    <x v="257"/>
    <x v="257"/>
    <x v="0"/>
    <x v="0"/>
    <x v="257"/>
    <x v="257"/>
    <x v="256"/>
    <x v="257"/>
    <x v="248"/>
    <x v="252"/>
    <x v="252"/>
  </r>
  <r>
    <x v="0"/>
    <x v="258"/>
    <x v="258"/>
    <x v="0"/>
    <x v="0"/>
    <x v="5"/>
    <x v="258"/>
    <x v="252"/>
    <x v="258"/>
    <x v="257"/>
    <x v="258"/>
    <x v="258"/>
    <x v="258"/>
    <x v="0"/>
    <x v="0"/>
    <x v="258"/>
    <x v="258"/>
    <x v="257"/>
    <x v="258"/>
    <x v="249"/>
    <x v="253"/>
    <x v="253"/>
  </r>
  <r>
    <x v="0"/>
    <x v="259"/>
    <x v="259"/>
    <x v="0"/>
    <x v="0"/>
    <x v="4"/>
    <x v="259"/>
    <x v="253"/>
    <x v="259"/>
    <x v="258"/>
    <x v="259"/>
    <x v="259"/>
    <x v="259"/>
    <x v="0"/>
    <x v="0"/>
    <x v="259"/>
    <x v="259"/>
    <x v="258"/>
    <x v="259"/>
    <x v="220"/>
    <x v="254"/>
    <x v="254"/>
  </r>
  <r>
    <x v="0"/>
    <x v="260"/>
    <x v="260"/>
    <x v="0"/>
    <x v="0"/>
    <x v="1"/>
    <x v="260"/>
    <x v="254"/>
    <x v="260"/>
    <x v="259"/>
    <x v="260"/>
    <x v="260"/>
    <x v="260"/>
    <x v="0"/>
    <x v="0"/>
    <x v="260"/>
    <x v="260"/>
    <x v="259"/>
    <x v="260"/>
    <x v="250"/>
    <x v="255"/>
    <x v="255"/>
  </r>
  <r>
    <x v="0"/>
    <x v="261"/>
    <x v="261"/>
    <x v="0"/>
    <x v="0"/>
    <x v="1"/>
    <x v="261"/>
    <x v="255"/>
    <x v="261"/>
    <x v="260"/>
    <x v="261"/>
    <x v="261"/>
    <x v="261"/>
    <x v="0"/>
    <x v="0"/>
    <x v="261"/>
    <x v="261"/>
    <x v="260"/>
    <x v="261"/>
    <x v="251"/>
    <x v="256"/>
    <x v="256"/>
  </r>
  <r>
    <x v="0"/>
    <x v="262"/>
    <x v="262"/>
    <x v="0"/>
    <x v="0"/>
    <x v="0"/>
    <x v="262"/>
    <x v="256"/>
    <x v="262"/>
    <x v="261"/>
    <x v="262"/>
    <x v="262"/>
    <x v="262"/>
    <x v="0"/>
    <x v="0"/>
    <x v="262"/>
    <x v="262"/>
    <x v="261"/>
    <x v="262"/>
    <x v="252"/>
    <x v="257"/>
    <x v="257"/>
  </r>
  <r>
    <x v="0"/>
    <x v="263"/>
    <x v="263"/>
    <x v="0"/>
    <x v="0"/>
    <x v="1"/>
    <x v="263"/>
    <x v="257"/>
    <x v="263"/>
    <x v="262"/>
    <x v="263"/>
    <x v="263"/>
    <x v="263"/>
    <x v="0"/>
    <x v="0"/>
    <x v="263"/>
    <x v="263"/>
    <x v="262"/>
    <x v="263"/>
    <x v="253"/>
    <x v="258"/>
    <x v="258"/>
  </r>
  <r>
    <x v="0"/>
    <x v="264"/>
    <x v="264"/>
    <x v="0"/>
    <x v="0"/>
    <x v="0"/>
    <x v="264"/>
    <x v="234"/>
    <x v="264"/>
    <x v="263"/>
    <x v="264"/>
    <x v="264"/>
    <x v="264"/>
    <x v="0"/>
    <x v="0"/>
    <x v="264"/>
    <x v="264"/>
    <x v="263"/>
    <x v="264"/>
    <x v="254"/>
    <x v="259"/>
    <x v="259"/>
  </r>
  <r>
    <x v="0"/>
    <x v="265"/>
    <x v="265"/>
    <x v="0"/>
    <x v="0"/>
    <x v="1"/>
    <x v="265"/>
    <x v="258"/>
    <x v="265"/>
    <x v="264"/>
    <x v="265"/>
    <x v="265"/>
    <x v="265"/>
    <x v="0"/>
    <x v="0"/>
    <x v="265"/>
    <x v="265"/>
    <x v="264"/>
    <x v="265"/>
    <x v="255"/>
    <x v="260"/>
    <x v="260"/>
  </r>
  <r>
    <x v="0"/>
    <x v="266"/>
    <x v="266"/>
    <x v="0"/>
    <x v="0"/>
    <x v="1"/>
    <x v="266"/>
    <x v="259"/>
    <x v="266"/>
    <x v="265"/>
    <x v="266"/>
    <x v="266"/>
    <x v="266"/>
    <x v="0"/>
    <x v="0"/>
    <x v="266"/>
    <x v="266"/>
    <x v="265"/>
    <x v="266"/>
    <x v="256"/>
    <x v="261"/>
    <x v="261"/>
  </r>
  <r>
    <x v="0"/>
    <x v="267"/>
    <x v="267"/>
    <x v="0"/>
    <x v="0"/>
    <x v="5"/>
    <x v="267"/>
    <x v="260"/>
    <x v="267"/>
    <x v="266"/>
    <x v="267"/>
    <x v="267"/>
    <x v="267"/>
    <x v="0"/>
    <x v="0"/>
    <x v="267"/>
    <x v="267"/>
    <x v="266"/>
    <x v="267"/>
    <x v="257"/>
    <x v="262"/>
    <x v="262"/>
  </r>
  <r>
    <x v="0"/>
    <x v="268"/>
    <x v="268"/>
    <x v="0"/>
    <x v="0"/>
    <x v="1"/>
    <x v="268"/>
    <x v="261"/>
    <x v="268"/>
    <x v="267"/>
    <x v="268"/>
    <x v="268"/>
    <x v="268"/>
    <x v="0"/>
    <x v="0"/>
    <x v="268"/>
    <x v="268"/>
    <x v="267"/>
    <x v="268"/>
    <x v="258"/>
    <x v="263"/>
    <x v="263"/>
  </r>
  <r>
    <x v="0"/>
    <x v="269"/>
    <x v="269"/>
    <x v="0"/>
    <x v="0"/>
    <x v="4"/>
    <x v="269"/>
    <x v="262"/>
    <x v="269"/>
    <x v="268"/>
    <x v="269"/>
    <x v="269"/>
    <x v="269"/>
    <x v="0"/>
    <x v="0"/>
    <x v="269"/>
    <x v="269"/>
    <x v="268"/>
    <x v="269"/>
    <x v="259"/>
    <x v="264"/>
    <x v="264"/>
  </r>
  <r>
    <x v="0"/>
    <x v="270"/>
    <x v="270"/>
    <x v="0"/>
    <x v="0"/>
    <x v="5"/>
    <x v="270"/>
    <x v="263"/>
    <x v="270"/>
    <x v="269"/>
    <x v="270"/>
    <x v="270"/>
    <x v="270"/>
    <x v="14"/>
    <x v="14"/>
    <x v="270"/>
    <x v="270"/>
    <x v="269"/>
    <x v="270"/>
    <x v="260"/>
    <x v="265"/>
    <x v="265"/>
  </r>
  <r>
    <x v="0"/>
    <x v="271"/>
    <x v="271"/>
    <x v="0"/>
    <x v="0"/>
    <x v="2"/>
    <x v="271"/>
    <x v="264"/>
    <x v="271"/>
    <x v="270"/>
    <x v="271"/>
    <x v="271"/>
    <x v="271"/>
    <x v="0"/>
    <x v="0"/>
    <x v="271"/>
    <x v="271"/>
    <x v="270"/>
    <x v="271"/>
    <x v="261"/>
    <x v="266"/>
    <x v="266"/>
  </r>
  <r>
    <x v="0"/>
    <x v="272"/>
    <x v="272"/>
    <x v="0"/>
    <x v="0"/>
    <x v="4"/>
    <x v="272"/>
    <x v="265"/>
    <x v="272"/>
    <x v="271"/>
    <x v="272"/>
    <x v="272"/>
    <x v="272"/>
    <x v="0"/>
    <x v="0"/>
    <x v="272"/>
    <x v="272"/>
    <x v="271"/>
    <x v="272"/>
    <x v="262"/>
    <x v="267"/>
    <x v="267"/>
  </r>
  <r>
    <x v="0"/>
    <x v="273"/>
    <x v="273"/>
    <x v="0"/>
    <x v="0"/>
    <x v="4"/>
    <x v="273"/>
    <x v="235"/>
    <x v="273"/>
    <x v="272"/>
    <x v="273"/>
    <x v="273"/>
    <x v="273"/>
    <x v="0"/>
    <x v="0"/>
    <x v="273"/>
    <x v="273"/>
    <x v="272"/>
    <x v="273"/>
    <x v="263"/>
    <x v="268"/>
    <x v="268"/>
  </r>
  <r>
    <x v="0"/>
    <x v="274"/>
    <x v="274"/>
    <x v="0"/>
    <x v="0"/>
    <x v="3"/>
    <x v="274"/>
    <x v="266"/>
    <x v="274"/>
    <x v="273"/>
    <x v="274"/>
    <x v="274"/>
    <x v="274"/>
    <x v="15"/>
    <x v="15"/>
    <x v="274"/>
    <x v="274"/>
    <x v="273"/>
    <x v="274"/>
    <x v="264"/>
    <x v="269"/>
    <x v="269"/>
  </r>
  <r>
    <x v="0"/>
    <x v="275"/>
    <x v="275"/>
    <x v="0"/>
    <x v="0"/>
    <x v="4"/>
    <x v="275"/>
    <x v="267"/>
    <x v="275"/>
    <x v="274"/>
    <x v="275"/>
    <x v="275"/>
    <x v="275"/>
    <x v="0"/>
    <x v="0"/>
    <x v="275"/>
    <x v="275"/>
    <x v="274"/>
    <x v="275"/>
    <x v="265"/>
    <x v="270"/>
    <x v="270"/>
  </r>
  <r>
    <x v="0"/>
    <x v="276"/>
    <x v="276"/>
    <x v="0"/>
    <x v="0"/>
    <x v="2"/>
    <x v="276"/>
    <x v="268"/>
    <x v="276"/>
    <x v="275"/>
    <x v="276"/>
    <x v="276"/>
    <x v="276"/>
    <x v="0"/>
    <x v="0"/>
    <x v="276"/>
    <x v="276"/>
    <x v="275"/>
    <x v="276"/>
    <x v="266"/>
    <x v="271"/>
    <x v="271"/>
  </r>
  <r>
    <x v="0"/>
    <x v="277"/>
    <x v="277"/>
    <x v="0"/>
    <x v="0"/>
    <x v="2"/>
    <x v="277"/>
    <x v="269"/>
    <x v="277"/>
    <x v="276"/>
    <x v="277"/>
    <x v="277"/>
    <x v="277"/>
    <x v="0"/>
    <x v="0"/>
    <x v="277"/>
    <x v="277"/>
    <x v="276"/>
    <x v="277"/>
    <x v="267"/>
    <x v="272"/>
    <x v="272"/>
  </r>
  <r>
    <x v="0"/>
    <x v="278"/>
    <x v="278"/>
    <x v="0"/>
    <x v="0"/>
    <x v="5"/>
    <x v="278"/>
    <x v="270"/>
    <x v="278"/>
    <x v="277"/>
    <x v="278"/>
    <x v="278"/>
    <x v="278"/>
    <x v="0"/>
    <x v="0"/>
    <x v="278"/>
    <x v="278"/>
    <x v="277"/>
    <x v="278"/>
    <x v="268"/>
    <x v="273"/>
    <x v="273"/>
  </r>
  <r>
    <x v="0"/>
    <x v="279"/>
    <x v="279"/>
    <x v="0"/>
    <x v="0"/>
    <x v="4"/>
    <x v="279"/>
    <x v="271"/>
    <x v="279"/>
    <x v="278"/>
    <x v="279"/>
    <x v="279"/>
    <x v="279"/>
    <x v="0"/>
    <x v="0"/>
    <x v="279"/>
    <x v="279"/>
    <x v="278"/>
    <x v="279"/>
    <x v="269"/>
    <x v="274"/>
    <x v="274"/>
  </r>
  <r>
    <x v="0"/>
    <x v="280"/>
    <x v="280"/>
    <x v="0"/>
    <x v="0"/>
    <x v="2"/>
    <x v="280"/>
    <x v="272"/>
    <x v="280"/>
    <x v="279"/>
    <x v="280"/>
    <x v="280"/>
    <x v="280"/>
    <x v="0"/>
    <x v="0"/>
    <x v="280"/>
    <x v="280"/>
    <x v="279"/>
    <x v="280"/>
    <x v="270"/>
    <x v="275"/>
    <x v="275"/>
  </r>
  <r>
    <x v="0"/>
    <x v="281"/>
    <x v="281"/>
    <x v="0"/>
    <x v="0"/>
    <x v="2"/>
    <x v="281"/>
    <x v="273"/>
    <x v="281"/>
    <x v="280"/>
    <x v="281"/>
    <x v="281"/>
    <x v="281"/>
    <x v="0"/>
    <x v="0"/>
    <x v="281"/>
    <x v="281"/>
    <x v="280"/>
    <x v="281"/>
    <x v="271"/>
    <x v="276"/>
    <x v="276"/>
  </r>
  <r>
    <x v="0"/>
    <x v="282"/>
    <x v="282"/>
    <x v="0"/>
    <x v="0"/>
    <x v="4"/>
    <x v="282"/>
    <x v="177"/>
    <x v="282"/>
    <x v="281"/>
    <x v="282"/>
    <x v="282"/>
    <x v="282"/>
    <x v="0"/>
    <x v="0"/>
    <x v="282"/>
    <x v="282"/>
    <x v="281"/>
    <x v="282"/>
    <x v="272"/>
    <x v="277"/>
    <x v="277"/>
  </r>
  <r>
    <x v="0"/>
    <x v="283"/>
    <x v="283"/>
    <x v="0"/>
    <x v="0"/>
    <x v="4"/>
    <x v="283"/>
    <x v="274"/>
    <x v="283"/>
    <x v="282"/>
    <x v="283"/>
    <x v="283"/>
    <x v="283"/>
    <x v="0"/>
    <x v="0"/>
    <x v="283"/>
    <x v="283"/>
    <x v="282"/>
    <x v="283"/>
    <x v="273"/>
    <x v="278"/>
    <x v="278"/>
  </r>
  <r>
    <x v="0"/>
    <x v="284"/>
    <x v="284"/>
    <x v="0"/>
    <x v="0"/>
    <x v="5"/>
    <x v="284"/>
    <x v="275"/>
    <x v="284"/>
    <x v="283"/>
    <x v="284"/>
    <x v="284"/>
    <x v="284"/>
    <x v="0"/>
    <x v="0"/>
    <x v="284"/>
    <x v="284"/>
    <x v="283"/>
    <x v="284"/>
    <x v="274"/>
    <x v="279"/>
    <x v="279"/>
  </r>
  <r>
    <x v="0"/>
    <x v="285"/>
    <x v="285"/>
    <x v="0"/>
    <x v="0"/>
    <x v="4"/>
    <x v="285"/>
    <x v="276"/>
    <x v="285"/>
    <x v="284"/>
    <x v="285"/>
    <x v="285"/>
    <x v="285"/>
    <x v="0"/>
    <x v="0"/>
    <x v="285"/>
    <x v="285"/>
    <x v="284"/>
    <x v="285"/>
    <x v="275"/>
    <x v="280"/>
    <x v="280"/>
  </r>
  <r>
    <x v="0"/>
    <x v="286"/>
    <x v="286"/>
    <x v="0"/>
    <x v="0"/>
    <x v="5"/>
    <x v="286"/>
    <x v="277"/>
    <x v="286"/>
    <x v="285"/>
    <x v="286"/>
    <x v="286"/>
    <x v="286"/>
    <x v="0"/>
    <x v="0"/>
    <x v="286"/>
    <x v="286"/>
    <x v="285"/>
    <x v="286"/>
    <x v="276"/>
    <x v="281"/>
    <x v="281"/>
  </r>
  <r>
    <x v="0"/>
    <x v="287"/>
    <x v="287"/>
    <x v="0"/>
    <x v="0"/>
    <x v="5"/>
    <x v="287"/>
    <x v="278"/>
    <x v="287"/>
    <x v="286"/>
    <x v="287"/>
    <x v="287"/>
    <x v="287"/>
    <x v="0"/>
    <x v="0"/>
    <x v="287"/>
    <x v="287"/>
    <x v="286"/>
    <x v="287"/>
    <x v="277"/>
    <x v="282"/>
    <x v="282"/>
  </r>
  <r>
    <x v="0"/>
    <x v="288"/>
    <x v="288"/>
    <x v="0"/>
    <x v="0"/>
    <x v="1"/>
    <x v="288"/>
    <x v="250"/>
    <x v="288"/>
    <x v="287"/>
    <x v="288"/>
    <x v="288"/>
    <x v="288"/>
    <x v="0"/>
    <x v="0"/>
    <x v="288"/>
    <x v="288"/>
    <x v="287"/>
    <x v="288"/>
    <x v="278"/>
    <x v="283"/>
    <x v="283"/>
  </r>
  <r>
    <x v="0"/>
    <x v="289"/>
    <x v="289"/>
    <x v="0"/>
    <x v="0"/>
    <x v="0"/>
    <x v="289"/>
    <x v="279"/>
    <x v="289"/>
    <x v="288"/>
    <x v="289"/>
    <x v="289"/>
    <x v="289"/>
    <x v="0"/>
    <x v="0"/>
    <x v="289"/>
    <x v="289"/>
    <x v="288"/>
    <x v="289"/>
    <x v="279"/>
    <x v="284"/>
    <x v="284"/>
  </r>
  <r>
    <x v="0"/>
    <x v="290"/>
    <x v="290"/>
    <x v="0"/>
    <x v="0"/>
    <x v="2"/>
    <x v="290"/>
    <x v="280"/>
    <x v="290"/>
    <x v="289"/>
    <x v="290"/>
    <x v="290"/>
    <x v="290"/>
    <x v="0"/>
    <x v="0"/>
    <x v="290"/>
    <x v="290"/>
    <x v="289"/>
    <x v="290"/>
    <x v="280"/>
    <x v="285"/>
    <x v="285"/>
  </r>
  <r>
    <x v="0"/>
    <x v="291"/>
    <x v="291"/>
    <x v="0"/>
    <x v="0"/>
    <x v="4"/>
    <x v="291"/>
    <x v="238"/>
    <x v="291"/>
    <x v="290"/>
    <x v="291"/>
    <x v="291"/>
    <x v="291"/>
    <x v="0"/>
    <x v="0"/>
    <x v="291"/>
    <x v="291"/>
    <x v="290"/>
    <x v="291"/>
    <x v="281"/>
    <x v="286"/>
    <x v="286"/>
  </r>
  <r>
    <x v="0"/>
    <x v="292"/>
    <x v="292"/>
    <x v="0"/>
    <x v="0"/>
    <x v="1"/>
    <x v="292"/>
    <x v="281"/>
    <x v="292"/>
    <x v="291"/>
    <x v="292"/>
    <x v="292"/>
    <x v="292"/>
    <x v="0"/>
    <x v="0"/>
    <x v="292"/>
    <x v="292"/>
    <x v="291"/>
    <x v="292"/>
    <x v="282"/>
    <x v="287"/>
    <x v="287"/>
  </r>
  <r>
    <x v="0"/>
    <x v="293"/>
    <x v="293"/>
    <x v="0"/>
    <x v="0"/>
    <x v="4"/>
    <x v="293"/>
    <x v="282"/>
    <x v="293"/>
    <x v="292"/>
    <x v="293"/>
    <x v="293"/>
    <x v="293"/>
    <x v="0"/>
    <x v="0"/>
    <x v="293"/>
    <x v="293"/>
    <x v="292"/>
    <x v="293"/>
    <x v="283"/>
    <x v="288"/>
    <x v="288"/>
  </r>
  <r>
    <x v="0"/>
    <x v="294"/>
    <x v="294"/>
    <x v="0"/>
    <x v="0"/>
    <x v="0"/>
    <x v="294"/>
    <x v="283"/>
    <x v="294"/>
    <x v="293"/>
    <x v="294"/>
    <x v="294"/>
    <x v="294"/>
    <x v="0"/>
    <x v="0"/>
    <x v="294"/>
    <x v="294"/>
    <x v="293"/>
    <x v="294"/>
    <x v="284"/>
    <x v="289"/>
    <x v="289"/>
  </r>
  <r>
    <x v="0"/>
    <x v="295"/>
    <x v="295"/>
    <x v="0"/>
    <x v="0"/>
    <x v="1"/>
    <x v="295"/>
    <x v="284"/>
    <x v="295"/>
    <x v="294"/>
    <x v="295"/>
    <x v="295"/>
    <x v="295"/>
    <x v="0"/>
    <x v="0"/>
    <x v="295"/>
    <x v="295"/>
    <x v="294"/>
    <x v="295"/>
    <x v="285"/>
    <x v="290"/>
    <x v="290"/>
  </r>
  <r>
    <x v="0"/>
    <x v="296"/>
    <x v="296"/>
    <x v="0"/>
    <x v="0"/>
    <x v="1"/>
    <x v="296"/>
    <x v="261"/>
    <x v="296"/>
    <x v="295"/>
    <x v="296"/>
    <x v="296"/>
    <x v="296"/>
    <x v="0"/>
    <x v="0"/>
    <x v="296"/>
    <x v="296"/>
    <x v="295"/>
    <x v="296"/>
    <x v="286"/>
    <x v="291"/>
    <x v="291"/>
  </r>
  <r>
    <x v="0"/>
    <x v="297"/>
    <x v="297"/>
    <x v="0"/>
    <x v="0"/>
    <x v="5"/>
    <x v="297"/>
    <x v="285"/>
    <x v="297"/>
    <x v="296"/>
    <x v="297"/>
    <x v="297"/>
    <x v="297"/>
    <x v="0"/>
    <x v="0"/>
    <x v="297"/>
    <x v="297"/>
    <x v="296"/>
    <x v="297"/>
    <x v="287"/>
    <x v="292"/>
    <x v="292"/>
  </r>
  <r>
    <x v="0"/>
    <x v="298"/>
    <x v="298"/>
    <x v="0"/>
    <x v="0"/>
    <x v="0"/>
    <x v="298"/>
    <x v="286"/>
    <x v="298"/>
    <x v="297"/>
    <x v="298"/>
    <x v="298"/>
    <x v="298"/>
    <x v="0"/>
    <x v="0"/>
    <x v="298"/>
    <x v="298"/>
    <x v="297"/>
    <x v="298"/>
    <x v="288"/>
    <x v="293"/>
    <x v="293"/>
  </r>
  <r>
    <x v="0"/>
    <x v="299"/>
    <x v="299"/>
    <x v="0"/>
    <x v="0"/>
    <x v="4"/>
    <x v="299"/>
    <x v="287"/>
    <x v="299"/>
    <x v="298"/>
    <x v="299"/>
    <x v="299"/>
    <x v="299"/>
    <x v="0"/>
    <x v="0"/>
    <x v="299"/>
    <x v="299"/>
    <x v="298"/>
    <x v="299"/>
    <x v="289"/>
    <x v="294"/>
    <x v="294"/>
  </r>
  <r>
    <x v="0"/>
    <x v="300"/>
    <x v="300"/>
    <x v="0"/>
    <x v="0"/>
    <x v="5"/>
    <x v="300"/>
    <x v="288"/>
    <x v="300"/>
    <x v="299"/>
    <x v="300"/>
    <x v="300"/>
    <x v="300"/>
    <x v="0"/>
    <x v="0"/>
    <x v="300"/>
    <x v="300"/>
    <x v="299"/>
    <x v="300"/>
    <x v="290"/>
    <x v="295"/>
    <x v="295"/>
  </r>
  <r>
    <x v="0"/>
    <x v="301"/>
    <x v="301"/>
    <x v="0"/>
    <x v="0"/>
    <x v="0"/>
    <x v="301"/>
    <x v="289"/>
    <x v="301"/>
    <x v="300"/>
    <x v="301"/>
    <x v="301"/>
    <x v="301"/>
    <x v="0"/>
    <x v="0"/>
    <x v="301"/>
    <x v="301"/>
    <x v="300"/>
    <x v="301"/>
    <x v="291"/>
    <x v="296"/>
    <x v="296"/>
  </r>
  <r>
    <x v="0"/>
    <x v="302"/>
    <x v="302"/>
    <x v="0"/>
    <x v="0"/>
    <x v="2"/>
    <x v="302"/>
    <x v="290"/>
    <x v="302"/>
    <x v="301"/>
    <x v="302"/>
    <x v="302"/>
    <x v="302"/>
    <x v="0"/>
    <x v="0"/>
    <x v="302"/>
    <x v="302"/>
    <x v="301"/>
    <x v="302"/>
    <x v="292"/>
    <x v="297"/>
    <x v="297"/>
  </r>
  <r>
    <x v="0"/>
    <x v="303"/>
    <x v="303"/>
    <x v="0"/>
    <x v="0"/>
    <x v="4"/>
    <x v="303"/>
    <x v="291"/>
    <x v="303"/>
    <x v="302"/>
    <x v="303"/>
    <x v="303"/>
    <x v="303"/>
    <x v="0"/>
    <x v="0"/>
    <x v="303"/>
    <x v="303"/>
    <x v="302"/>
    <x v="303"/>
    <x v="293"/>
    <x v="298"/>
    <x v="298"/>
  </r>
  <r>
    <x v="0"/>
    <x v="304"/>
    <x v="304"/>
    <x v="0"/>
    <x v="0"/>
    <x v="3"/>
    <x v="304"/>
    <x v="284"/>
    <x v="304"/>
    <x v="303"/>
    <x v="304"/>
    <x v="304"/>
    <x v="304"/>
    <x v="0"/>
    <x v="0"/>
    <x v="304"/>
    <x v="304"/>
    <x v="303"/>
    <x v="304"/>
    <x v="294"/>
    <x v="299"/>
    <x v="299"/>
  </r>
  <r>
    <x v="0"/>
    <x v="305"/>
    <x v="305"/>
    <x v="0"/>
    <x v="0"/>
    <x v="6"/>
    <x v="305"/>
    <x v="292"/>
    <x v="305"/>
    <x v="304"/>
    <x v="305"/>
    <x v="305"/>
    <x v="305"/>
    <x v="0"/>
    <x v="0"/>
    <x v="305"/>
    <x v="305"/>
    <x v="304"/>
    <x v="305"/>
    <x v="295"/>
    <x v="300"/>
    <x v="300"/>
  </r>
  <r>
    <x v="0"/>
    <x v="306"/>
    <x v="306"/>
    <x v="0"/>
    <x v="0"/>
    <x v="3"/>
    <x v="306"/>
    <x v="293"/>
    <x v="306"/>
    <x v="305"/>
    <x v="306"/>
    <x v="306"/>
    <x v="306"/>
    <x v="0"/>
    <x v="0"/>
    <x v="306"/>
    <x v="306"/>
    <x v="305"/>
    <x v="306"/>
    <x v="296"/>
    <x v="301"/>
    <x v="301"/>
  </r>
  <r>
    <x v="0"/>
    <x v="307"/>
    <x v="307"/>
    <x v="0"/>
    <x v="0"/>
    <x v="1"/>
    <x v="307"/>
    <x v="294"/>
    <x v="307"/>
    <x v="306"/>
    <x v="307"/>
    <x v="307"/>
    <x v="307"/>
    <x v="0"/>
    <x v="0"/>
    <x v="307"/>
    <x v="307"/>
    <x v="306"/>
    <x v="307"/>
    <x v="297"/>
    <x v="302"/>
    <x v="302"/>
  </r>
  <r>
    <x v="0"/>
    <x v="308"/>
    <x v="308"/>
    <x v="0"/>
    <x v="0"/>
    <x v="6"/>
    <x v="308"/>
    <x v="295"/>
    <x v="308"/>
    <x v="307"/>
    <x v="308"/>
    <x v="308"/>
    <x v="308"/>
    <x v="0"/>
    <x v="0"/>
    <x v="308"/>
    <x v="308"/>
    <x v="307"/>
    <x v="308"/>
    <x v="298"/>
    <x v="303"/>
    <x v="303"/>
  </r>
  <r>
    <x v="0"/>
    <x v="309"/>
    <x v="309"/>
    <x v="0"/>
    <x v="0"/>
    <x v="4"/>
    <x v="309"/>
    <x v="296"/>
    <x v="309"/>
    <x v="308"/>
    <x v="309"/>
    <x v="309"/>
    <x v="309"/>
    <x v="0"/>
    <x v="0"/>
    <x v="309"/>
    <x v="309"/>
    <x v="308"/>
    <x v="309"/>
    <x v="299"/>
    <x v="304"/>
    <x v="304"/>
  </r>
  <r>
    <x v="0"/>
    <x v="310"/>
    <x v="310"/>
    <x v="0"/>
    <x v="0"/>
    <x v="0"/>
    <x v="310"/>
    <x v="297"/>
    <x v="310"/>
    <x v="309"/>
    <x v="310"/>
    <x v="310"/>
    <x v="310"/>
    <x v="0"/>
    <x v="0"/>
    <x v="310"/>
    <x v="310"/>
    <x v="309"/>
    <x v="310"/>
    <x v="0"/>
    <x v="0"/>
    <x v="0"/>
  </r>
  <r>
    <x v="0"/>
    <x v="311"/>
    <x v="311"/>
    <x v="0"/>
    <x v="0"/>
    <x v="4"/>
    <x v="311"/>
    <x v="298"/>
    <x v="311"/>
    <x v="310"/>
    <x v="311"/>
    <x v="311"/>
    <x v="311"/>
    <x v="0"/>
    <x v="0"/>
    <x v="311"/>
    <x v="311"/>
    <x v="310"/>
    <x v="311"/>
    <x v="300"/>
    <x v="305"/>
    <x v="305"/>
  </r>
  <r>
    <x v="0"/>
    <x v="312"/>
    <x v="312"/>
    <x v="0"/>
    <x v="0"/>
    <x v="2"/>
    <x v="312"/>
    <x v="299"/>
    <x v="312"/>
    <x v="311"/>
    <x v="312"/>
    <x v="312"/>
    <x v="312"/>
    <x v="0"/>
    <x v="0"/>
    <x v="312"/>
    <x v="312"/>
    <x v="311"/>
    <x v="312"/>
    <x v="301"/>
    <x v="306"/>
    <x v="306"/>
  </r>
  <r>
    <x v="0"/>
    <x v="313"/>
    <x v="313"/>
    <x v="0"/>
    <x v="0"/>
    <x v="3"/>
    <x v="313"/>
    <x v="300"/>
    <x v="313"/>
    <x v="312"/>
    <x v="313"/>
    <x v="313"/>
    <x v="313"/>
    <x v="0"/>
    <x v="0"/>
    <x v="313"/>
    <x v="313"/>
    <x v="312"/>
    <x v="313"/>
    <x v="302"/>
    <x v="307"/>
    <x v="307"/>
  </r>
  <r>
    <x v="0"/>
    <x v="314"/>
    <x v="314"/>
    <x v="0"/>
    <x v="0"/>
    <x v="1"/>
    <x v="314"/>
    <x v="301"/>
    <x v="314"/>
    <x v="313"/>
    <x v="314"/>
    <x v="314"/>
    <x v="314"/>
    <x v="0"/>
    <x v="0"/>
    <x v="314"/>
    <x v="314"/>
    <x v="313"/>
    <x v="314"/>
    <x v="303"/>
    <x v="308"/>
    <x v="308"/>
  </r>
  <r>
    <x v="0"/>
    <x v="315"/>
    <x v="315"/>
    <x v="0"/>
    <x v="0"/>
    <x v="4"/>
    <x v="315"/>
    <x v="302"/>
    <x v="315"/>
    <x v="314"/>
    <x v="315"/>
    <x v="315"/>
    <x v="315"/>
    <x v="0"/>
    <x v="0"/>
    <x v="315"/>
    <x v="315"/>
    <x v="314"/>
    <x v="315"/>
    <x v="304"/>
    <x v="309"/>
    <x v="309"/>
  </r>
  <r>
    <x v="0"/>
    <x v="316"/>
    <x v="316"/>
    <x v="0"/>
    <x v="0"/>
    <x v="1"/>
    <x v="316"/>
    <x v="303"/>
    <x v="316"/>
    <x v="315"/>
    <x v="316"/>
    <x v="316"/>
    <x v="316"/>
    <x v="0"/>
    <x v="0"/>
    <x v="316"/>
    <x v="316"/>
    <x v="315"/>
    <x v="316"/>
    <x v="305"/>
    <x v="310"/>
    <x v="310"/>
  </r>
  <r>
    <x v="0"/>
    <x v="317"/>
    <x v="317"/>
    <x v="0"/>
    <x v="0"/>
    <x v="5"/>
    <x v="317"/>
    <x v="304"/>
    <x v="317"/>
    <x v="316"/>
    <x v="317"/>
    <x v="317"/>
    <x v="317"/>
    <x v="0"/>
    <x v="0"/>
    <x v="317"/>
    <x v="317"/>
    <x v="316"/>
    <x v="317"/>
    <x v="306"/>
    <x v="311"/>
    <x v="311"/>
  </r>
  <r>
    <x v="0"/>
    <x v="318"/>
    <x v="318"/>
    <x v="0"/>
    <x v="0"/>
    <x v="4"/>
    <x v="318"/>
    <x v="305"/>
    <x v="318"/>
    <x v="317"/>
    <x v="318"/>
    <x v="318"/>
    <x v="318"/>
    <x v="0"/>
    <x v="0"/>
    <x v="318"/>
    <x v="318"/>
    <x v="317"/>
    <x v="318"/>
    <x v="307"/>
    <x v="312"/>
    <x v="312"/>
  </r>
  <r>
    <x v="0"/>
    <x v="319"/>
    <x v="319"/>
    <x v="0"/>
    <x v="0"/>
    <x v="5"/>
    <x v="319"/>
    <x v="306"/>
    <x v="319"/>
    <x v="318"/>
    <x v="319"/>
    <x v="319"/>
    <x v="319"/>
    <x v="0"/>
    <x v="0"/>
    <x v="319"/>
    <x v="319"/>
    <x v="318"/>
    <x v="319"/>
    <x v="308"/>
    <x v="313"/>
    <x v="313"/>
  </r>
  <r>
    <x v="0"/>
    <x v="320"/>
    <x v="320"/>
    <x v="0"/>
    <x v="0"/>
    <x v="1"/>
    <x v="320"/>
    <x v="307"/>
    <x v="320"/>
    <x v="319"/>
    <x v="320"/>
    <x v="320"/>
    <x v="320"/>
    <x v="0"/>
    <x v="0"/>
    <x v="320"/>
    <x v="320"/>
    <x v="319"/>
    <x v="320"/>
    <x v="309"/>
    <x v="314"/>
    <x v="314"/>
  </r>
  <r>
    <x v="0"/>
    <x v="321"/>
    <x v="321"/>
    <x v="0"/>
    <x v="0"/>
    <x v="2"/>
    <x v="321"/>
    <x v="308"/>
    <x v="321"/>
    <x v="320"/>
    <x v="321"/>
    <x v="321"/>
    <x v="321"/>
    <x v="0"/>
    <x v="0"/>
    <x v="321"/>
    <x v="321"/>
    <x v="320"/>
    <x v="321"/>
    <x v="310"/>
    <x v="315"/>
    <x v="315"/>
  </r>
  <r>
    <x v="0"/>
    <x v="322"/>
    <x v="322"/>
    <x v="0"/>
    <x v="0"/>
    <x v="4"/>
    <x v="322"/>
    <x v="309"/>
    <x v="322"/>
    <x v="321"/>
    <x v="322"/>
    <x v="322"/>
    <x v="322"/>
    <x v="0"/>
    <x v="0"/>
    <x v="322"/>
    <x v="322"/>
    <x v="321"/>
    <x v="322"/>
    <x v="311"/>
    <x v="316"/>
    <x v="316"/>
  </r>
  <r>
    <x v="0"/>
    <x v="323"/>
    <x v="323"/>
    <x v="0"/>
    <x v="0"/>
    <x v="0"/>
    <x v="323"/>
    <x v="310"/>
    <x v="323"/>
    <x v="322"/>
    <x v="323"/>
    <x v="323"/>
    <x v="323"/>
    <x v="0"/>
    <x v="0"/>
    <x v="323"/>
    <x v="323"/>
    <x v="322"/>
    <x v="323"/>
    <x v="312"/>
    <x v="317"/>
    <x v="317"/>
  </r>
  <r>
    <x v="0"/>
    <x v="324"/>
    <x v="324"/>
    <x v="0"/>
    <x v="0"/>
    <x v="7"/>
    <x v="324"/>
    <x v="295"/>
    <x v="324"/>
    <x v="323"/>
    <x v="324"/>
    <x v="324"/>
    <x v="324"/>
    <x v="0"/>
    <x v="0"/>
    <x v="324"/>
    <x v="324"/>
    <x v="323"/>
    <x v="324"/>
    <x v="313"/>
    <x v="318"/>
    <x v="318"/>
  </r>
  <r>
    <x v="0"/>
    <x v="325"/>
    <x v="325"/>
    <x v="0"/>
    <x v="0"/>
    <x v="2"/>
    <x v="325"/>
    <x v="311"/>
    <x v="325"/>
    <x v="324"/>
    <x v="325"/>
    <x v="325"/>
    <x v="325"/>
    <x v="0"/>
    <x v="0"/>
    <x v="325"/>
    <x v="325"/>
    <x v="324"/>
    <x v="325"/>
    <x v="314"/>
    <x v="319"/>
    <x v="319"/>
  </r>
  <r>
    <x v="0"/>
    <x v="326"/>
    <x v="326"/>
    <x v="0"/>
    <x v="0"/>
    <x v="1"/>
    <x v="326"/>
    <x v="312"/>
    <x v="326"/>
    <x v="325"/>
    <x v="326"/>
    <x v="326"/>
    <x v="326"/>
    <x v="0"/>
    <x v="0"/>
    <x v="326"/>
    <x v="326"/>
    <x v="325"/>
    <x v="326"/>
    <x v="315"/>
    <x v="320"/>
    <x v="320"/>
  </r>
  <r>
    <x v="0"/>
    <x v="327"/>
    <x v="327"/>
    <x v="0"/>
    <x v="0"/>
    <x v="2"/>
    <x v="327"/>
    <x v="313"/>
    <x v="327"/>
    <x v="326"/>
    <x v="327"/>
    <x v="327"/>
    <x v="327"/>
    <x v="0"/>
    <x v="0"/>
    <x v="327"/>
    <x v="327"/>
    <x v="326"/>
    <x v="327"/>
    <x v="316"/>
    <x v="321"/>
    <x v="321"/>
  </r>
  <r>
    <x v="0"/>
    <x v="328"/>
    <x v="328"/>
    <x v="0"/>
    <x v="0"/>
    <x v="1"/>
    <x v="328"/>
    <x v="314"/>
    <x v="328"/>
    <x v="327"/>
    <x v="328"/>
    <x v="328"/>
    <x v="328"/>
    <x v="0"/>
    <x v="0"/>
    <x v="328"/>
    <x v="328"/>
    <x v="327"/>
    <x v="328"/>
    <x v="317"/>
    <x v="322"/>
    <x v="322"/>
  </r>
  <r>
    <x v="0"/>
    <x v="329"/>
    <x v="329"/>
    <x v="0"/>
    <x v="0"/>
    <x v="6"/>
    <x v="329"/>
    <x v="315"/>
    <x v="329"/>
    <x v="328"/>
    <x v="329"/>
    <x v="329"/>
    <x v="329"/>
    <x v="0"/>
    <x v="0"/>
    <x v="329"/>
    <x v="329"/>
    <x v="328"/>
    <x v="329"/>
    <x v="318"/>
    <x v="323"/>
    <x v="323"/>
  </r>
  <r>
    <x v="0"/>
    <x v="330"/>
    <x v="330"/>
    <x v="0"/>
    <x v="0"/>
    <x v="1"/>
    <x v="330"/>
    <x v="316"/>
    <x v="330"/>
    <x v="329"/>
    <x v="330"/>
    <x v="330"/>
    <x v="330"/>
    <x v="0"/>
    <x v="0"/>
    <x v="330"/>
    <x v="330"/>
    <x v="329"/>
    <x v="330"/>
    <x v="319"/>
    <x v="324"/>
    <x v="324"/>
  </r>
  <r>
    <x v="0"/>
    <x v="331"/>
    <x v="331"/>
    <x v="0"/>
    <x v="0"/>
    <x v="1"/>
    <x v="331"/>
    <x v="312"/>
    <x v="331"/>
    <x v="330"/>
    <x v="331"/>
    <x v="331"/>
    <x v="331"/>
    <x v="0"/>
    <x v="0"/>
    <x v="331"/>
    <x v="331"/>
    <x v="330"/>
    <x v="331"/>
    <x v="320"/>
    <x v="325"/>
    <x v="325"/>
  </r>
  <r>
    <x v="0"/>
    <x v="332"/>
    <x v="332"/>
    <x v="0"/>
    <x v="0"/>
    <x v="1"/>
    <x v="332"/>
    <x v="300"/>
    <x v="332"/>
    <x v="331"/>
    <x v="332"/>
    <x v="332"/>
    <x v="332"/>
    <x v="0"/>
    <x v="0"/>
    <x v="332"/>
    <x v="332"/>
    <x v="331"/>
    <x v="332"/>
    <x v="321"/>
    <x v="326"/>
    <x v="326"/>
  </r>
  <r>
    <x v="0"/>
    <x v="333"/>
    <x v="333"/>
    <x v="0"/>
    <x v="0"/>
    <x v="2"/>
    <x v="333"/>
    <x v="300"/>
    <x v="333"/>
    <x v="332"/>
    <x v="333"/>
    <x v="333"/>
    <x v="333"/>
    <x v="0"/>
    <x v="0"/>
    <x v="333"/>
    <x v="333"/>
    <x v="332"/>
    <x v="333"/>
    <x v="322"/>
    <x v="327"/>
    <x v="327"/>
  </r>
  <r>
    <x v="0"/>
    <x v="334"/>
    <x v="334"/>
    <x v="0"/>
    <x v="0"/>
    <x v="1"/>
    <x v="334"/>
    <x v="314"/>
    <x v="334"/>
    <x v="333"/>
    <x v="334"/>
    <x v="334"/>
    <x v="334"/>
    <x v="0"/>
    <x v="0"/>
    <x v="334"/>
    <x v="334"/>
    <x v="333"/>
    <x v="334"/>
    <x v="323"/>
    <x v="328"/>
    <x v="328"/>
  </r>
  <r>
    <x v="0"/>
    <x v="335"/>
    <x v="335"/>
    <x v="0"/>
    <x v="0"/>
    <x v="1"/>
    <x v="335"/>
    <x v="316"/>
    <x v="335"/>
    <x v="334"/>
    <x v="335"/>
    <x v="335"/>
    <x v="335"/>
    <x v="0"/>
    <x v="0"/>
    <x v="335"/>
    <x v="335"/>
    <x v="334"/>
    <x v="335"/>
    <x v="324"/>
    <x v="329"/>
    <x v="329"/>
  </r>
  <r>
    <x v="0"/>
    <x v="336"/>
    <x v="336"/>
    <x v="0"/>
    <x v="0"/>
    <x v="1"/>
    <x v="336"/>
    <x v="316"/>
    <x v="336"/>
    <x v="335"/>
    <x v="336"/>
    <x v="336"/>
    <x v="336"/>
    <x v="0"/>
    <x v="0"/>
    <x v="336"/>
    <x v="336"/>
    <x v="335"/>
    <x v="336"/>
    <x v="325"/>
    <x v="330"/>
    <x v="330"/>
  </r>
  <r>
    <x v="0"/>
    <x v="337"/>
    <x v="337"/>
    <x v="0"/>
    <x v="0"/>
    <x v="4"/>
    <x v="337"/>
    <x v="317"/>
    <x v="337"/>
    <x v="336"/>
    <x v="337"/>
    <x v="337"/>
    <x v="337"/>
    <x v="0"/>
    <x v="0"/>
    <x v="337"/>
    <x v="337"/>
    <x v="336"/>
    <x v="337"/>
    <x v="326"/>
    <x v="331"/>
    <x v="331"/>
  </r>
  <r>
    <x v="0"/>
    <x v="338"/>
    <x v="338"/>
    <x v="0"/>
    <x v="0"/>
    <x v="1"/>
    <x v="338"/>
    <x v="316"/>
    <x v="338"/>
    <x v="337"/>
    <x v="338"/>
    <x v="338"/>
    <x v="338"/>
    <x v="0"/>
    <x v="0"/>
    <x v="338"/>
    <x v="338"/>
    <x v="337"/>
    <x v="338"/>
    <x v="327"/>
    <x v="332"/>
    <x v="332"/>
  </r>
  <r>
    <x v="0"/>
    <x v="339"/>
    <x v="339"/>
    <x v="0"/>
    <x v="0"/>
    <x v="1"/>
    <x v="339"/>
    <x v="318"/>
    <x v="339"/>
    <x v="338"/>
    <x v="339"/>
    <x v="339"/>
    <x v="339"/>
    <x v="0"/>
    <x v="0"/>
    <x v="339"/>
    <x v="339"/>
    <x v="338"/>
    <x v="339"/>
    <x v="328"/>
    <x v="333"/>
    <x v="333"/>
  </r>
  <r>
    <x v="0"/>
    <x v="340"/>
    <x v="340"/>
    <x v="0"/>
    <x v="0"/>
    <x v="1"/>
    <x v="306"/>
    <x v="319"/>
    <x v="340"/>
    <x v="339"/>
    <x v="340"/>
    <x v="340"/>
    <x v="340"/>
    <x v="0"/>
    <x v="0"/>
    <x v="340"/>
    <x v="340"/>
    <x v="339"/>
    <x v="340"/>
    <x v="306"/>
    <x v="334"/>
    <x v="334"/>
  </r>
  <r>
    <x v="0"/>
    <x v="341"/>
    <x v="341"/>
    <x v="0"/>
    <x v="0"/>
    <x v="1"/>
    <x v="340"/>
    <x v="320"/>
    <x v="341"/>
    <x v="340"/>
    <x v="341"/>
    <x v="341"/>
    <x v="341"/>
    <x v="0"/>
    <x v="0"/>
    <x v="341"/>
    <x v="341"/>
    <x v="340"/>
    <x v="341"/>
    <x v="306"/>
    <x v="335"/>
    <x v="335"/>
  </r>
  <r>
    <x v="0"/>
    <x v="342"/>
    <x v="342"/>
    <x v="0"/>
    <x v="0"/>
    <x v="2"/>
    <x v="341"/>
    <x v="321"/>
    <x v="342"/>
    <x v="341"/>
    <x v="342"/>
    <x v="342"/>
    <x v="342"/>
    <x v="0"/>
    <x v="0"/>
    <x v="342"/>
    <x v="342"/>
    <x v="341"/>
    <x v="342"/>
    <x v="329"/>
    <x v="336"/>
    <x v="336"/>
  </r>
  <r>
    <x v="0"/>
    <x v="343"/>
    <x v="343"/>
    <x v="0"/>
    <x v="0"/>
    <x v="1"/>
    <x v="342"/>
    <x v="322"/>
    <x v="343"/>
    <x v="342"/>
    <x v="343"/>
    <x v="343"/>
    <x v="343"/>
    <x v="0"/>
    <x v="0"/>
    <x v="343"/>
    <x v="343"/>
    <x v="342"/>
    <x v="343"/>
    <x v="330"/>
    <x v="337"/>
    <x v="337"/>
  </r>
  <r>
    <x v="0"/>
    <x v="344"/>
    <x v="344"/>
    <x v="0"/>
    <x v="0"/>
    <x v="1"/>
    <x v="343"/>
    <x v="300"/>
    <x v="344"/>
    <x v="343"/>
    <x v="344"/>
    <x v="344"/>
    <x v="344"/>
    <x v="0"/>
    <x v="0"/>
    <x v="344"/>
    <x v="344"/>
    <x v="343"/>
    <x v="344"/>
    <x v="331"/>
    <x v="338"/>
    <x v="338"/>
  </r>
  <r>
    <x v="0"/>
    <x v="345"/>
    <x v="345"/>
    <x v="0"/>
    <x v="0"/>
    <x v="3"/>
    <x v="344"/>
    <x v="316"/>
    <x v="345"/>
    <x v="344"/>
    <x v="345"/>
    <x v="345"/>
    <x v="345"/>
    <x v="0"/>
    <x v="0"/>
    <x v="345"/>
    <x v="345"/>
    <x v="344"/>
    <x v="345"/>
    <x v="332"/>
    <x v="339"/>
    <x v="339"/>
  </r>
  <r>
    <x v="0"/>
    <x v="346"/>
    <x v="346"/>
    <x v="0"/>
    <x v="0"/>
    <x v="4"/>
    <x v="345"/>
    <x v="316"/>
    <x v="346"/>
    <x v="345"/>
    <x v="346"/>
    <x v="346"/>
    <x v="346"/>
    <x v="0"/>
    <x v="0"/>
    <x v="346"/>
    <x v="346"/>
    <x v="345"/>
    <x v="346"/>
    <x v="333"/>
    <x v="340"/>
    <x v="340"/>
  </r>
  <r>
    <x v="0"/>
    <x v="347"/>
    <x v="347"/>
    <x v="0"/>
    <x v="0"/>
    <x v="1"/>
    <x v="346"/>
    <x v="323"/>
    <x v="347"/>
    <x v="346"/>
    <x v="347"/>
    <x v="347"/>
    <x v="347"/>
    <x v="0"/>
    <x v="0"/>
    <x v="347"/>
    <x v="347"/>
    <x v="346"/>
    <x v="347"/>
    <x v="334"/>
    <x v="341"/>
    <x v="341"/>
  </r>
  <r>
    <x v="0"/>
    <x v="348"/>
    <x v="348"/>
    <x v="0"/>
    <x v="0"/>
    <x v="7"/>
    <x v="347"/>
    <x v="320"/>
    <x v="348"/>
    <x v="347"/>
    <x v="348"/>
    <x v="348"/>
    <x v="348"/>
    <x v="0"/>
    <x v="0"/>
    <x v="348"/>
    <x v="348"/>
    <x v="347"/>
    <x v="348"/>
    <x v="0"/>
    <x v="0"/>
    <x v="0"/>
  </r>
  <r>
    <x v="0"/>
    <x v="349"/>
    <x v="349"/>
    <x v="0"/>
    <x v="0"/>
    <x v="1"/>
    <x v="348"/>
    <x v="321"/>
    <x v="349"/>
    <x v="347"/>
    <x v="349"/>
    <x v="349"/>
    <x v="349"/>
    <x v="0"/>
    <x v="0"/>
    <x v="349"/>
    <x v="349"/>
    <x v="348"/>
    <x v="349"/>
    <x v="335"/>
    <x v="342"/>
    <x v="342"/>
  </r>
  <r>
    <x v="0"/>
    <x v="350"/>
    <x v="350"/>
    <x v="0"/>
    <x v="0"/>
    <x v="3"/>
    <x v="349"/>
    <x v="324"/>
    <x v="350"/>
    <x v="348"/>
    <x v="350"/>
    <x v="350"/>
    <x v="350"/>
    <x v="0"/>
    <x v="0"/>
    <x v="350"/>
    <x v="350"/>
    <x v="349"/>
    <x v="350"/>
    <x v="336"/>
    <x v="343"/>
    <x v="343"/>
  </r>
  <r>
    <x v="0"/>
    <x v="351"/>
    <x v="351"/>
    <x v="0"/>
    <x v="0"/>
    <x v="3"/>
    <x v="350"/>
    <x v="325"/>
    <x v="351"/>
    <x v="349"/>
    <x v="351"/>
    <x v="351"/>
    <x v="351"/>
    <x v="0"/>
    <x v="0"/>
    <x v="351"/>
    <x v="351"/>
    <x v="350"/>
    <x v="351"/>
    <x v="337"/>
    <x v="344"/>
    <x v="344"/>
  </r>
  <r>
    <x v="0"/>
    <x v="352"/>
    <x v="352"/>
    <x v="0"/>
    <x v="0"/>
    <x v="3"/>
    <x v="351"/>
    <x v="316"/>
    <x v="352"/>
    <x v="350"/>
    <x v="352"/>
    <x v="352"/>
    <x v="352"/>
    <x v="0"/>
    <x v="0"/>
    <x v="352"/>
    <x v="352"/>
    <x v="351"/>
    <x v="352"/>
    <x v="336"/>
    <x v="345"/>
    <x v="345"/>
  </r>
  <r>
    <x v="0"/>
    <x v="353"/>
    <x v="353"/>
    <x v="0"/>
    <x v="0"/>
    <x v="1"/>
    <x v="352"/>
    <x v="322"/>
    <x v="353"/>
    <x v="351"/>
    <x v="353"/>
    <x v="353"/>
    <x v="353"/>
    <x v="0"/>
    <x v="0"/>
    <x v="353"/>
    <x v="353"/>
    <x v="352"/>
    <x v="353"/>
    <x v="338"/>
    <x v="346"/>
    <x v="346"/>
  </r>
  <r>
    <x v="0"/>
    <x v="354"/>
    <x v="354"/>
    <x v="0"/>
    <x v="0"/>
    <x v="7"/>
    <x v="353"/>
    <x v="322"/>
    <x v="354"/>
    <x v="352"/>
    <x v="354"/>
    <x v="354"/>
    <x v="354"/>
    <x v="0"/>
    <x v="0"/>
    <x v="354"/>
    <x v="354"/>
    <x v="353"/>
    <x v="354"/>
    <x v="339"/>
    <x v="347"/>
    <x v="347"/>
  </r>
  <r>
    <x v="0"/>
    <x v="355"/>
    <x v="355"/>
    <x v="0"/>
    <x v="0"/>
    <x v="3"/>
    <x v="354"/>
    <x v="326"/>
    <x v="355"/>
    <x v="353"/>
    <x v="355"/>
    <x v="355"/>
    <x v="355"/>
    <x v="0"/>
    <x v="0"/>
    <x v="355"/>
    <x v="355"/>
    <x v="354"/>
    <x v="355"/>
    <x v="340"/>
    <x v="348"/>
    <x v="348"/>
  </r>
  <r>
    <x v="0"/>
    <x v="356"/>
    <x v="356"/>
    <x v="0"/>
    <x v="0"/>
    <x v="1"/>
    <x v="355"/>
    <x v="327"/>
    <x v="356"/>
    <x v="354"/>
    <x v="356"/>
    <x v="356"/>
    <x v="356"/>
    <x v="0"/>
    <x v="0"/>
    <x v="356"/>
    <x v="356"/>
    <x v="355"/>
    <x v="356"/>
    <x v="341"/>
    <x v="349"/>
    <x v="349"/>
  </r>
  <r>
    <x v="0"/>
    <x v="357"/>
    <x v="357"/>
    <x v="0"/>
    <x v="0"/>
    <x v="3"/>
    <x v="355"/>
    <x v="322"/>
    <x v="357"/>
    <x v="355"/>
    <x v="357"/>
    <x v="357"/>
    <x v="357"/>
    <x v="0"/>
    <x v="0"/>
    <x v="355"/>
    <x v="355"/>
    <x v="354"/>
    <x v="355"/>
    <x v="342"/>
    <x v="350"/>
    <x v="350"/>
  </r>
  <r>
    <x v="0"/>
    <x v="358"/>
    <x v="358"/>
    <x v="0"/>
    <x v="0"/>
    <x v="4"/>
    <x v="356"/>
    <x v="328"/>
    <x v="358"/>
    <x v="356"/>
    <x v="358"/>
    <x v="358"/>
    <x v="358"/>
    <x v="0"/>
    <x v="0"/>
    <x v="357"/>
    <x v="357"/>
    <x v="356"/>
    <x v="357"/>
    <x v="343"/>
    <x v="351"/>
    <x v="351"/>
  </r>
  <r>
    <x v="0"/>
    <x v="359"/>
    <x v="359"/>
    <x v="0"/>
    <x v="0"/>
    <x v="3"/>
    <x v="357"/>
    <x v="321"/>
    <x v="359"/>
    <x v="357"/>
    <x v="359"/>
    <x v="359"/>
    <x v="359"/>
    <x v="0"/>
    <x v="0"/>
    <x v="358"/>
    <x v="358"/>
    <x v="357"/>
    <x v="358"/>
    <x v="340"/>
    <x v="352"/>
    <x v="352"/>
  </r>
  <r>
    <x v="0"/>
    <x v="360"/>
    <x v="360"/>
    <x v="0"/>
    <x v="0"/>
    <x v="7"/>
    <x v="358"/>
    <x v="322"/>
    <x v="360"/>
    <x v="355"/>
    <x v="360"/>
    <x v="360"/>
    <x v="360"/>
    <x v="0"/>
    <x v="0"/>
    <x v="355"/>
    <x v="355"/>
    <x v="354"/>
    <x v="355"/>
    <x v="313"/>
    <x v="353"/>
    <x v="353"/>
  </r>
  <r>
    <x v="0"/>
    <x v="361"/>
    <x v="361"/>
    <x v="0"/>
    <x v="0"/>
    <x v="3"/>
    <x v="359"/>
    <x v="320"/>
    <x v="361"/>
    <x v="358"/>
    <x v="361"/>
    <x v="361"/>
    <x v="361"/>
    <x v="0"/>
    <x v="0"/>
    <x v="359"/>
    <x v="359"/>
    <x v="358"/>
    <x v="359"/>
    <x v="313"/>
    <x v="354"/>
    <x v="354"/>
  </r>
  <r>
    <x v="0"/>
    <x v="362"/>
    <x v="362"/>
    <x v="0"/>
    <x v="0"/>
    <x v="3"/>
    <x v="360"/>
    <x v="323"/>
    <x v="362"/>
    <x v="358"/>
    <x v="362"/>
    <x v="362"/>
    <x v="362"/>
    <x v="0"/>
    <x v="0"/>
    <x v="360"/>
    <x v="360"/>
    <x v="359"/>
    <x v="360"/>
    <x v="336"/>
    <x v="355"/>
    <x v="355"/>
  </r>
  <r>
    <x v="0"/>
    <x v="363"/>
    <x v="363"/>
    <x v="0"/>
    <x v="0"/>
    <x v="3"/>
    <x v="361"/>
    <x v="320"/>
    <x v="363"/>
    <x v="359"/>
    <x v="363"/>
    <x v="363"/>
    <x v="363"/>
    <x v="0"/>
    <x v="0"/>
    <x v="361"/>
    <x v="361"/>
    <x v="360"/>
    <x v="361"/>
    <x v="344"/>
    <x v="356"/>
    <x v="356"/>
  </r>
  <r>
    <x v="0"/>
    <x v="364"/>
    <x v="364"/>
    <x v="0"/>
    <x v="0"/>
    <x v="1"/>
    <x v="362"/>
    <x v="327"/>
    <x v="364"/>
    <x v="360"/>
    <x v="364"/>
    <x v="364"/>
    <x v="364"/>
    <x v="0"/>
    <x v="0"/>
    <x v="362"/>
    <x v="362"/>
    <x v="361"/>
    <x v="362"/>
    <x v="340"/>
    <x v="357"/>
    <x v="357"/>
  </r>
  <r>
    <x v="0"/>
    <x v="365"/>
    <x v="365"/>
    <x v="0"/>
    <x v="0"/>
    <x v="3"/>
    <x v="363"/>
    <x v="329"/>
    <x v="365"/>
    <x v="361"/>
    <x v="365"/>
    <x v="365"/>
    <x v="365"/>
    <x v="0"/>
    <x v="0"/>
    <x v="363"/>
    <x v="363"/>
    <x v="362"/>
    <x v="363"/>
    <x v="313"/>
    <x v="358"/>
    <x v="358"/>
  </r>
  <r>
    <x v="0"/>
    <x v="366"/>
    <x v="366"/>
    <x v="0"/>
    <x v="0"/>
    <x v="1"/>
    <x v="364"/>
    <x v="320"/>
    <x v="366"/>
    <x v="362"/>
    <x v="366"/>
    <x v="366"/>
    <x v="366"/>
    <x v="0"/>
    <x v="0"/>
    <x v="364"/>
    <x v="364"/>
    <x v="363"/>
    <x v="364"/>
    <x v="345"/>
    <x v="359"/>
    <x v="359"/>
  </r>
  <r>
    <x v="0"/>
    <x v="367"/>
    <x v="367"/>
    <x v="0"/>
    <x v="0"/>
    <x v="3"/>
    <x v="365"/>
    <x v="330"/>
    <x v="367"/>
    <x v="363"/>
    <x v="367"/>
    <x v="367"/>
    <x v="367"/>
    <x v="0"/>
    <x v="0"/>
    <x v="365"/>
    <x v="365"/>
    <x v="364"/>
    <x v="365"/>
    <x v="313"/>
    <x v="360"/>
    <x v="360"/>
  </r>
  <r>
    <x v="0"/>
    <x v="368"/>
    <x v="368"/>
    <x v="0"/>
    <x v="0"/>
    <x v="1"/>
    <x v="366"/>
    <x v="329"/>
    <x v="368"/>
    <x v="364"/>
    <x v="368"/>
    <x v="368"/>
    <x v="368"/>
    <x v="0"/>
    <x v="0"/>
    <x v="366"/>
    <x v="366"/>
    <x v="365"/>
    <x v="366"/>
    <x v="345"/>
    <x v="361"/>
    <x v="361"/>
  </r>
  <r>
    <x v="0"/>
    <x v="369"/>
    <x v="369"/>
    <x v="0"/>
    <x v="0"/>
    <x v="1"/>
    <x v="367"/>
    <x v="328"/>
    <x v="369"/>
    <x v="364"/>
    <x v="369"/>
    <x v="369"/>
    <x v="369"/>
    <x v="0"/>
    <x v="0"/>
    <x v="367"/>
    <x v="367"/>
    <x v="366"/>
    <x v="367"/>
    <x v="336"/>
    <x v="362"/>
    <x v="362"/>
  </r>
  <r>
    <x v="0"/>
    <x v="370"/>
    <x v="370"/>
    <x v="0"/>
    <x v="0"/>
    <x v="1"/>
    <x v="368"/>
    <x v="329"/>
    <x v="370"/>
    <x v="365"/>
    <x v="370"/>
    <x v="370"/>
    <x v="370"/>
    <x v="0"/>
    <x v="0"/>
    <x v="355"/>
    <x v="355"/>
    <x v="354"/>
    <x v="355"/>
    <x v="346"/>
    <x v="363"/>
    <x v="363"/>
  </r>
  <r>
    <x v="0"/>
    <x v="371"/>
    <x v="371"/>
    <x v="0"/>
    <x v="0"/>
    <x v="5"/>
    <x v="369"/>
    <x v="329"/>
    <x v="371"/>
    <x v="366"/>
    <x v="371"/>
    <x v="371"/>
    <x v="371"/>
    <x v="0"/>
    <x v="0"/>
    <x v="368"/>
    <x v="368"/>
    <x v="367"/>
    <x v="368"/>
    <x v="313"/>
    <x v="364"/>
    <x v="364"/>
  </r>
  <r>
    <x v="0"/>
    <x v="372"/>
    <x v="372"/>
    <x v="0"/>
    <x v="0"/>
    <x v="1"/>
    <x v="370"/>
    <x v="331"/>
    <x v="372"/>
    <x v="367"/>
    <x v="372"/>
    <x v="372"/>
    <x v="372"/>
    <x v="0"/>
    <x v="0"/>
    <x v="369"/>
    <x v="369"/>
    <x v="368"/>
    <x v="369"/>
    <x v="343"/>
    <x v="365"/>
    <x v="365"/>
  </r>
  <r>
    <x v="0"/>
    <x v="373"/>
    <x v="373"/>
    <x v="0"/>
    <x v="0"/>
    <x v="4"/>
    <x v="371"/>
    <x v="328"/>
    <x v="373"/>
    <x v="366"/>
    <x v="373"/>
    <x v="373"/>
    <x v="373"/>
    <x v="0"/>
    <x v="0"/>
    <x v="370"/>
    <x v="370"/>
    <x v="369"/>
    <x v="370"/>
    <x v="345"/>
    <x v="366"/>
    <x v="366"/>
  </r>
  <r>
    <x v="0"/>
    <x v="374"/>
    <x v="374"/>
    <x v="0"/>
    <x v="0"/>
    <x v="1"/>
    <x v="372"/>
    <x v="320"/>
    <x v="374"/>
    <x v="368"/>
    <x v="374"/>
    <x v="374"/>
    <x v="374"/>
    <x v="0"/>
    <x v="0"/>
    <x v="371"/>
    <x v="371"/>
    <x v="370"/>
    <x v="371"/>
    <x v="337"/>
    <x v="367"/>
    <x v="367"/>
  </r>
  <r>
    <x v="0"/>
    <x v="375"/>
    <x v="375"/>
    <x v="0"/>
    <x v="0"/>
    <x v="4"/>
    <x v="373"/>
    <x v="295"/>
    <x v="375"/>
    <x v="369"/>
    <x v="375"/>
    <x v="375"/>
    <x v="375"/>
    <x v="0"/>
    <x v="0"/>
    <x v="355"/>
    <x v="355"/>
    <x v="354"/>
    <x v="355"/>
    <x v="313"/>
    <x v="368"/>
    <x v="368"/>
  </r>
  <r>
    <x v="0"/>
    <x v="376"/>
    <x v="376"/>
    <x v="0"/>
    <x v="0"/>
    <x v="1"/>
    <x v="374"/>
    <x v="328"/>
    <x v="376"/>
    <x v="370"/>
    <x v="376"/>
    <x v="376"/>
    <x v="376"/>
    <x v="0"/>
    <x v="0"/>
    <x v="372"/>
    <x v="372"/>
    <x v="371"/>
    <x v="372"/>
    <x v="344"/>
    <x v="369"/>
    <x v="369"/>
  </r>
  <r>
    <x v="0"/>
    <x v="377"/>
    <x v="377"/>
    <x v="0"/>
    <x v="0"/>
    <x v="1"/>
    <x v="375"/>
    <x v="329"/>
    <x v="377"/>
    <x v="371"/>
    <x v="377"/>
    <x v="377"/>
    <x v="377"/>
    <x v="0"/>
    <x v="0"/>
    <x v="350"/>
    <x v="373"/>
    <x v="349"/>
    <x v="373"/>
    <x v="347"/>
    <x v="370"/>
    <x v="370"/>
  </r>
  <r>
    <x v="0"/>
    <x v="378"/>
    <x v="378"/>
    <x v="0"/>
    <x v="0"/>
    <x v="7"/>
    <x v="376"/>
    <x v="328"/>
    <x v="378"/>
    <x v="372"/>
    <x v="378"/>
    <x v="378"/>
    <x v="378"/>
    <x v="0"/>
    <x v="0"/>
    <x v="355"/>
    <x v="355"/>
    <x v="354"/>
    <x v="355"/>
    <x v="339"/>
    <x v="371"/>
    <x v="371"/>
  </r>
  <r>
    <x v="0"/>
    <x v="379"/>
    <x v="379"/>
    <x v="0"/>
    <x v="0"/>
    <x v="3"/>
    <x v="377"/>
    <x v="322"/>
    <x v="379"/>
    <x v="373"/>
    <x v="379"/>
    <x v="379"/>
    <x v="379"/>
    <x v="0"/>
    <x v="0"/>
    <x v="373"/>
    <x v="374"/>
    <x v="372"/>
    <x v="374"/>
    <x v="348"/>
    <x v="372"/>
    <x v="372"/>
  </r>
  <r>
    <x v="0"/>
    <x v="380"/>
    <x v="380"/>
    <x v="0"/>
    <x v="0"/>
    <x v="1"/>
    <x v="374"/>
    <x v="330"/>
    <x v="380"/>
    <x v="373"/>
    <x v="380"/>
    <x v="380"/>
    <x v="380"/>
    <x v="0"/>
    <x v="0"/>
    <x v="374"/>
    <x v="375"/>
    <x v="373"/>
    <x v="375"/>
    <x v="336"/>
    <x v="373"/>
    <x v="373"/>
  </r>
  <r>
    <x v="0"/>
    <x v="381"/>
    <x v="381"/>
    <x v="0"/>
    <x v="0"/>
    <x v="7"/>
    <x v="378"/>
    <x v="322"/>
    <x v="381"/>
    <x v="374"/>
    <x v="381"/>
    <x v="381"/>
    <x v="381"/>
    <x v="0"/>
    <x v="0"/>
    <x v="363"/>
    <x v="376"/>
    <x v="362"/>
    <x v="376"/>
    <x v="339"/>
    <x v="374"/>
    <x v="374"/>
  </r>
  <r>
    <x v="0"/>
    <x v="382"/>
    <x v="382"/>
    <x v="0"/>
    <x v="0"/>
    <x v="3"/>
    <x v="379"/>
    <x v="329"/>
    <x v="382"/>
    <x v="375"/>
    <x v="382"/>
    <x v="382"/>
    <x v="382"/>
    <x v="0"/>
    <x v="0"/>
    <x v="355"/>
    <x v="355"/>
    <x v="354"/>
    <x v="355"/>
    <x v="339"/>
    <x v="375"/>
    <x v="375"/>
  </r>
  <r>
    <x v="0"/>
    <x v="383"/>
    <x v="383"/>
    <x v="0"/>
    <x v="0"/>
    <x v="3"/>
    <x v="380"/>
    <x v="329"/>
    <x v="383"/>
    <x v="376"/>
    <x v="366"/>
    <x v="383"/>
    <x v="383"/>
    <x v="0"/>
    <x v="0"/>
    <x v="355"/>
    <x v="355"/>
    <x v="354"/>
    <x v="355"/>
    <x v="339"/>
    <x v="376"/>
    <x v="376"/>
  </r>
  <r>
    <x v="0"/>
    <x v="384"/>
    <x v="384"/>
    <x v="0"/>
    <x v="0"/>
    <x v="1"/>
    <x v="381"/>
    <x v="330"/>
    <x v="384"/>
    <x v="375"/>
    <x v="383"/>
    <x v="384"/>
    <x v="384"/>
    <x v="0"/>
    <x v="0"/>
    <x v="375"/>
    <x v="377"/>
    <x v="374"/>
    <x v="377"/>
    <x v="342"/>
    <x v="377"/>
    <x v="377"/>
  </r>
  <r>
    <x v="0"/>
    <x v="385"/>
    <x v="385"/>
    <x v="0"/>
    <x v="0"/>
    <x v="3"/>
    <x v="382"/>
    <x v="330"/>
    <x v="385"/>
    <x v="377"/>
    <x v="384"/>
    <x v="385"/>
    <x v="385"/>
    <x v="0"/>
    <x v="0"/>
    <x v="347"/>
    <x v="378"/>
    <x v="346"/>
    <x v="378"/>
    <x v="349"/>
    <x v="378"/>
    <x v="378"/>
  </r>
  <r>
    <x v="0"/>
    <x v="386"/>
    <x v="386"/>
    <x v="0"/>
    <x v="0"/>
    <x v="3"/>
    <x v="380"/>
    <x v="329"/>
    <x v="386"/>
    <x v="378"/>
    <x v="366"/>
    <x v="386"/>
    <x v="386"/>
    <x v="0"/>
    <x v="0"/>
    <x v="355"/>
    <x v="355"/>
    <x v="354"/>
    <x v="355"/>
    <x v="339"/>
    <x v="379"/>
    <x v="376"/>
  </r>
  <r>
    <x v="0"/>
    <x v="387"/>
    <x v="387"/>
    <x v="0"/>
    <x v="0"/>
    <x v="3"/>
    <x v="383"/>
    <x v="322"/>
    <x v="387"/>
    <x v="379"/>
    <x v="385"/>
    <x v="387"/>
    <x v="387"/>
    <x v="0"/>
    <x v="0"/>
    <x v="350"/>
    <x v="379"/>
    <x v="349"/>
    <x v="379"/>
    <x v="313"/>
    <x v="380"/>
    <x v="379"/>
  </r>
  <r>
    <x v="0"/>
    <x v="388"/>
    <x v="388"/>
    <x v="0"/>
    <x v="0"/>
    <x v="3"/>
    <x v="383"/>
    <x v="332"/>
    <x v="388"/>
    <x v="380"/>
    <x v="386"/>
    <x v="388"/>
    <x v="388"/>
    <x v="0"/>
    <x v="0"/>
    <x v="355"/>
    <x v="355"/>
    <x v="354"/>
    <x v="355"/>
    <x v="339"/>
    <x v="381"/>
    <x v="380"/>
  </r>
  <r>
    <x v="0"/>
    <x v="389"/>
    <x v="389"/>
    <x v="0"/>
    <x v="0"/>
    <x v="3"/>
    <x v="384"/>
    <x v="328"/>
    <x v="389"/>
    <x v="379"/>
    <x v="387"/>
    <x v="389"/>
    <x v="389"/>
    <x v="0"/>
    <x v="0"/>
    <x v="355"/>
    <x v="355"/>
    <x v="354"/>
    <x v="355"/>
    <x v="349"/>
    <x v="382"/>
    <x v="381"/>
  </r>
  <r>
    <x v="0"/>
    <x v="390"/>
    <x v="390"/>
    <x v="0"/>
    <x v="0"/>
    <x v="3"/>
    <x v="385"/>
    <x v="329"/>
    <x v="390"/>
    <x v="380"/>
    <x v="388"/>
    <x v="390"/>
    <x v="390"/>
    <x v="0"/>
    <x v="0"/>
    <x v="355"/>
    <x v="355"/>
    <x v="354"/>
    <x v="355"/>
    <x v="350"/>
    <x v="383"/>
    <x v="382"/>
  </r>
  <r>
    <x v="0"/>
    <x v="391"/>
    <x v="391"/>
    <x v="0"/>
    <x v="0"/>
    <x v="7"/>
    <x v="386"/>
    <x v="329"/>
    <x v="391"/>
    <x v="381"/>
    <x v="389"/>
    <x v="391"/>
    <x v="391"/>
    <x v="0"/>
    <x v="0"/>
    <x v="376"/>
    <x v="380"/>
    <x v="375"/>
    <x v="380"/>
    <x v="339"/>
    <x v="384"/>
    <x v="383"/>
  </r>
  <r>
    <x v="0"/>
    <x v="392"/>
    <x v="392"/>
    <x v="0"/>
    <x v="0"/>
    <x v="3"/>
    <x v="387"/>
    <x v="328"/>
    <x v="392"/>
    <x v="380"/>
    <x v="390"/>
    <x v="392"/>
    <x v="392"/>
    <x v="0"/>
    <x v="0"/>
    <x v="355"/>
    <x v="355"/>
    <x v="354"/>
    <x v="355"/>
    <x v="313"/>
    <x v="385"/>
    <x v="384"/>
  </r>
  <r>
    <x v="0"/>
    <x v="393"/>
    <x v="393"/>
    <x v="0"/>
    <x v="0"/>
    <x v="7"/>
    <x v="380"/>
    <x v="329"/>
    <x v="393"/>
    <x v="381"/>
    <x v="366"/>
    <x v="393"/>
    <x v="393"/>
    <x v="0"/>
    <x v="0"/>
    <x v="355"/>
    <x v="355"/>
    <x v="354"/>
    <x v="355"/>
    <x v="339"/>
    <x v="386"/>
    <x v="376"/>
  </r>
  <r>
    <x v="0"/>
    <x v="394"/>
    <x v="394"/>
    <x v="0"/>
    <x v="0"/>
    <x v="3"/>
    <x v="383"/>
    <x v="328"/>
    <x v="394"/>
    <x v="380"/>
    <x v="391"/>
    <x v="394"/>
    <x v="394"/>
    <x v="0"/>
    <x v="0"/>
    <x v="355"/>
    <x v="355"/>
    <x v="354"/>
    <x v="355"/>
    <x v="349"/>
    <x v="387"/>
    <x v="385"/>
  </r>
  <r>
    <x v="0"/>
    <x v="395"/>
    <x v="395"/>
    <x v="0"/>
    <x v="0"/>
    <x v="3"/>
    <x v="388"/>
    <x v="329"/>
    <x v="395"/>
    <x v="382"/>
    <x v="392"/>
    <x v="395"/>
    <x v="395"/>
    <x v="0"/>
    <x v="0"/>
    <x v="355"/>
    <x v="355"/>
    <x v="354"/>
    <x v="355"/>
    <x v="350"/>
    <x v="388"/>
    <x v="386"/>
  </r>
  <r>
    <x v="0"/>
    <x v="396"/>
    <x v="396"/>
    <x v="0"/>
    <x v="0"/>
    <x v="3"/>
    <x v="389"/>
    <x v="332"/>
    <x v="396"/>
    <x v="382"/>
    <x v="386"/>
    <x v="396"/>
    <x v="388"/>
    <x v="0"/>
    <x v="0"/>
    <x v="355"/>
    <x v="355"/>
    <x v="354"/>
    <x v="355"/>
    <x v="339"/>
    <x v="389"/>
    <x v="387"/>
  </r>
  <r>
    <x v="0"/>
    <x v="397"/>
    <x v="397"/>
    <x v="0"/>
    <x v="0"/>
    <x v="3"/>
    <x v="390"/>
    <x v="332"/>
    <x v="397"/>
    <x v="381"/>
    <x v="386"/>
    <x v="397"/>
    <x v="388"/>
    <x v="0"/>
    <x v="0"/>
    <x v="355"/>
    <x v="355"/>
    <x v="354"/>
    <x v="355"/>
    <x v="0"/>
    <x v="0"/>
    <x v="0"/>
  </r>
  <r>
    <x v="0"/>
    <x v="398"/>
    <x v="398"/>
    <x v="0"/>
    <x v="0"/>
    <x v="3"/>
    <x v="382"/>
    <x v="329"/>
    <x v="398"/>
    <x v="383"/>
    <x v="393"/>
    <x v="398"/>
    <x v="396"/>
    <x v="0"/>
    <x v="0"/>
    <x v="363"/>
    <x v="381"/>
    <x v="362"/>
    <x v="381"/>
    <x v="339"/>
    <x v="390"/>
    <x v="382"/>
  </r>
  <r>
    <x v="0"/>
    <x v="399"/>
    <x v="399"/>
    <x v="0"/>
    <x v="0"/>
    <x v="1"/>
    <x v="391"/>
    <x v="332"/>
    <x v="399"/>
    <x v="382"/>
    <x v="386"/>
    <x v="399"/>
    <x v="388"/>
    <x v="0"/>
    <x v="0"/>
    <x v="355"/>
    <x v="355"/>
    <x v="354"/>
    <x v="355"/>
    <x v="351"/>
    <x v="391"/>
    <x v="388"/>
  </r>
  <r>
    <x v="0"/>
    <x v="400"/>
    <x v="400"/>
    <x v="0"/>
    <x v="0"/>
    <x v="0"/>
    <x v="392"/>
    <x v="329"/>
    <x v="400"/>
    <x v="382"/>
    <x v="355"/>
    <x v="400"/>
    <x v="397"/>
    <x v="0"/>
    <x v="0"/>
    <x v="377"/>
    <x v="382"/>
    <x v="376"/>
    <x v="382"/>
    <x v="313"/>
    <x v="392"/>
    <x v="389"/>
  </r>
  <r>
    <x v="0"/>
    <x v="401"/>
    <x v="401"/>
    <x v="0"/>
    <x v="0"/>
    <x v="3"/>
    <x v="393"/>
    <x v="329"/>
    <x v="401"/>
    <x v="384"/>
    <x v="394"/>
    <x v="401"/>
    <x v="398"/>
    <x v="0"/>
    <x v="0"/>
    <x v="355"/>
    <x v="355"/>
    <x v="354"/>
    <x v="355"/>
    <x v="350"/>
    <x v="393"/>
    <x v="359"/>
  </r>
  <r>
    <x v="0"/>
    <x v="402"/>
    <x v="402"/>
    <x v="0"/>
    <x v="0"/>
    <x v="3"/>
    <x v="394"/>
    <x v="329"/>
    <x v="402"/>
    <x v="384"/>
    <x v="395"/>
    <x v="402"/>
    <x v="399"/>
    <x v="0"/>
    <x v="0"/>
    <x v="355"/>
    <x v="355"/>
    <x v="354"/>
    <x v="355"/>
    <x v="313"/>
    <x v="394"/>
    <x v="390"/>
  </r>
  <r>
    <x v="0"/>
    <x v="403"/>
    <x v="403"/>
    <x v="0"/>
    <x v="0"/>
    <x v="3"/>
    <x v="395"/>
    <x v="330"/>
    <x v="403"/>
    <x v="384"/>
    <x v="396"/>
    <x v="403"/>
    <x v="400"/>
    <x v="0"/>
    <x v="0"/>
    <x v="350"/>
    <x v="383"/>
    <x v="349"/>
    <x v="383"/>
    <x v="313"/>
    <x v="395"/>
    <x v="391"/>
  </r>
  <r>
    <x v="0"/>
    <x v="404"/>
    <x v="404"/>
    <x v="0"/>
    <x v="0"/>
    <x v="3"/>
    <x v="383"/>
    <x v="329"/>
    <x v="404"/>
    <x v="384"/>
    <x v="397"/>
    <x v="404"/>
    <x v="401"/>
    <x v="0"/>
    <x v="0"/>
    <x v="355"/>
    <x v="355"/>
    <x v="354"/>
    <x v="355"/>
    <x v="339"/>
    <x v="396"/>
    <x v="380"/>
  </r>
  <r>
    <x v="0"/>
    <x v="405"/>
    <x v="405"/>
    <x v="0"/>
    <x v="0"/>
    <x v="3"/>
    <x v="383"/>
    <x v="328"/>
    <x v="405"/>
    <x v="384"/>
    <x v="391"/>
    <x v="405"/>
    <x v="402"/>
    <x v="0"/>
    <x v="0"/>
    <x v="355"/>
    <x v="355"/>
    <x v="354"/>
    <x v="355"/>
    <x v="350"/>
    <x v="397"/>
    <x v="392"/>
  </r>
  <r>
    <x v="0"/>
    <x v="406"/>
    <x v="406"/>
    <x v="0"/>
    <x v="0"/>
    <x v="7"/>
    <x v="396"/>
    <x v="329"/>
    <x v="406"/>
    <x v="384"/>
    <x v="398"/>
    <x v="406"/>
    <x v="403"/>
    <x v="0"/>
    <x v="0"/>
    <x v="355"/>
    <x v="355"/>
    <x v="354"/>
    <x v="355"/>
    <x v="339"/>
    <x v="398"/>
    <x v="393"/>
  </r>
  <r>
    <x v="0"/>
    <x v="407"/>
    <x v="407"/>
    <x v="0"/>
    <x v="0"/>
    <x v="3"/>
    <x v="380"/>
    <x v="332"/>
    <x v="407"/>
    <x v="384"/>
    <x v="386"/>
    <x v="407"/>
    <x v="388"/>
    <x v="0"/>
    <x v="0"/>
    <x v="355"/>
    <x v="355"/>
    <x v="354"/>
    <x v="355"/>
    <x v="0"/>
    <x v="0"/>
    <x v="0"/>
  </r>
  <r>
    <x v="0"/>
    <x v="408"/>
    <x v="408"/>
    <x v="0"/>
    <x v="0"/>
    <x v="3"/>
    <x v="397"/>
    <x v="330"/>
    <x v="408"/>
    <x v="385"/>
    <x v="399"/>
    <x v="408"/>
    <x v="404"/>
    <x v="0"/>
    <x v="0"/>
    <x v="355"/>
    <x v="355"/>
    <x v="354"/>
    <x v="355"/>
    <x v="349"/>
    <x v="399"/>
    <x v="394"/>
  </r>
  <r>
    <x v="0"/>
    <x v="409"/>
    <x v="409"/>
    <x v="0"/>
    <x v="0"/>
    <x v="3"/>
    <x v="398"/>
    <x v="328"/>
    <x v="409"/>
    <x v="384"/>
    <x v="400"/>
    <x v="409"/>
    <x v="405"/>
    <x v="0"/>
    <x v="0"/>
    <x v="355"/>
    <x v="355"/>
    <x v="354"/>
    <x v="355"/>
    <x v="350"/>
    <x v="400"/>
    <x v="381"/>
  </r>
  <r>
    <x v="0"/>
    <x v="410"/>
    <x v="410"/>
    <x v="0"/>
    <x v="0"/>
    <x v="3"/>
    <x v="399"/>
    <x v="330"/>
    <x v="410"/>
    <x v="384"/>
    <x v="401"/>
    <x v="410"/>
    <x v="406"/>
    <x v="0"/>
    <x v="0"/>
    <x v="355"/>
    <x v="355"/>
    <x v="354"/>
    <x v="355"/>
    <x v="350"/>
    <x v="401"/>
    <x v="395"/>
  </r>
  <r>
    <x v="0"/>
    <x v="411"/>
    <x v="411"/>
    <x v="0"/>
    <x v="0"/>
    <x v="3"/>
    <x v="400"/>
    <x v="329"/>
    <x v="411"/>
    <x v="385"/>
    <x v="402"/>
    <x v="411"/>
    <x v="407"/>
    <x v="0"/>
    <x v="0"/>
    <x v="378"/>
    <x v="384"/>
    <x v="377"/>
    <x v="384"/>
    <x v="339"/>
    <x v="402"/>
    <x v="396"/>
  </r>
  <r>
    <x v="0"/>
    <x v="412"/>
    <x v="412"/>
    <x v="0"/>
    <x v="0"/>
    <x v="3"/>
    <x v="377"/>
    <x v="329"/>
    <x v="412"/>
    <x v="386"/>
    <x v="403"/>
    <x v="412"/>
    <x v="408"/>
    <x v="0"/>
    <x v="0"/>
    <x v="350"/>
    <x v="385"/>
    <x v="349"/>
    <x v="385"/>
    <x v="339"/>
    <x v="403"/>
    <x v="397"/>
  </r>
  <r>
    <x v="0"/>
    <x v="413"/>
    <x v="413"/>
    <x v="0"/>
    <x v="0"/>
    <x v="3"/>
    <x v="380"/>
    <x v="329"/>
    <x v="413"/>
    <x v="385"/>
    <x v="366"/>
    <x v="413"/>
    <x v="409"/>
    <x v="0"/>
    <x v="0"/>
    <x v="355"/>
    <x v="355"/>
    <x v="354"/>
    <x v="355"/>
    <x v="339"/>
    <x v="404"/>
    <x v="376"/>
  </r>
  <r>
    <x v="0"/>
    <x v="414"/>
    <x v="414"/>
    <x v="0"/>
    <x v="0"/>
    <x v="3"/>
    <x v="382"/>
    <x v="329"/>
    <x v="414"/>
    <x v="385"/>
    <x v="393"/>
    <x v="414"/>
    <x v="410"/>
    <x v="0"/>
    <x v="0"/>
    <x v="355"/>
    <x v="355"/>
    <x v="354"/>
    <x v="355"/>
    <x v="339"/>
    <x v="405"/>
    <x v="382"/>
  </r>
  <r>
    <x v="0"/>
    <x v="415"/>
    <x v="415"/>
    <x v="0"/>
    <x v="0"/>
    <x v="7"/>
    <x v="401"/>
    <x v="330"/>
    <x v="415"/>
    <x v="385"/>
    <x v="404"/>
    <x v="415"/>
    <x v="411"/>
    <x v="0"/>
    <x v="0"/>
    <x v="355"/>
    <x v="355"/>
    <x v="354"/>
    <x v="355"/>
    <x v="339"/>
    <x v="406"/>
    <x v="398"/>
  </r>
  <r>
    <x v="0"/>
    <x v="416"/>
    <x v="416"/>
    <x v="0"/>
    <x v="0"/>
    <x v="3"/>
    <x v="402"/>
    <x v="329"/>
    <x v="416"/>
    <x v="386"/>
    <x v="405"/>
    <x v="416"/>
    <x v="412"/>
    <x v="0"/>
    <x v="0"/>
    <x v="355"/>
    <x v="355"/>
    <x v="354"/>
    <x v="355"/>
    <x v="350"/>
    <x v="407"/>
    <x v="358"/>
  </r>
  <r>
    <x v="0"/>
    <x v="417"/>
    <x v="417"/>
    <x v="0"/>
    <x v="0"/>
    <x v="3"/>
    <x v="382"/>
    <x v="329"/>
    <x v="417"/>
    <x v="387"/>
    <x v="393"/>
    <x v="417"/>
    <x v="413"/>
    <x v="0"/>
    <x v="0"/>
    <x v="355"/>
    <x v="355"/>
    <x v="354"/>
    <x v="355"/>
    <x v="339"/>
    <x v="408"/>
    <x v="382"/>
  </r>
  <r>
    <x v="0"/>
    <x v="418"/>
    <x v="418"/>
    <x v="0"/>
    <x v="0"/>
    <x v="3"/>
    <x v="402"/>
    <x v="332"/>
    <x v="418"/>
    <x v="386"/>
    <x v="386"/>
    <x v="418"/>
    <x v="388"/>
    <x v="0"/>
    <x v="0"/>
    <x v="355"/>
    <x v="355"/>
    <x v="354"/>
    <x v="355"/>
    <x v="0"/>
    <x v="0"/>
    <x v="0"/>
  </r>
  <r>
    <x v="0"/>
    <x v="419"/>
    <x v="419"/>
    <x v="0"/>
    <x v="0"/>
    <x v="3"/>
    <x v="388"/>
    <x v="329"/>
    <x v="419"/>
    <x v="386"/>
    <x v="392"/>
    <x v="419"/>
    <x v="414"/>
    <x v="0"/>
    <x v="0"/>
    <x v="355"/>
    <x v="355"/>
    <x v="354"/>
    <x v="355"/>
    <x v="339"/>
    <x v="409"/>
    <x v="399"/>
  </r>
  <r>
    <x v="0"/>
    <x v="420"/>
    <x v="420"/>
    <x v="0"/>
    <x v="0"/>
    <x v="7"/>
    <x v="356"/>
    <x v="328"/>
    <x v="420"/>
    <x v="388"/>
    <x v="358"/>
    <x v="420"/>
    <x v="415"/>
    <x v="0"/>
    <x v="0"/>
    <x v="355"/>
    <x v="355"/>
    <x v="354"/>
    <x v="355"/>
    <x v="339"/>
    <x v="410"/>
    <x v="400"/>
  </r>
  <r>
    <x v="0"/>
    <x v="421"/>
    <x v="421"/>
    <x v="0"/>
    <x v="0"/>
    <x v="7"/>
    <x v="403"/>
    <x v="329"/>
    <x v="421"/>
    <x v="388"/>
    <x v="406"/>
    <x v="421"/>
    <x v="416"/>
    <x v="0"/>
    <x v="0"/>
    <x v="355"/>
    <x v="355"/>
    <x v="354"/>
    <x v="355"/>
    <x v="339"/>
    <x v="411"/>
    <x v="401"/>
  </r>
  <r>
    <x v="0"/>
    <x v="422"/>
    <x v="422"/>
    <x v="0"/>
    <x v="0"/>
    <x v="4"/>
    <x v="404"/>
    <x v="333"/>
    <x v="422"/>
    <x v="386"/>
    <x v="407"/>
    <x v="422"/>
    <x v="417"/>
    <x v="0"/>
    <x v="0"/>
    <x v="355"/>
    <x v="355"/>
    <x v="354"/>
    <x v="355"/>
    <x v="339"/>
    <x v="412"/>
    <x v="402"/>
  </r>
  <r>
    <x v="0"/>
    <x v="423"/>
    <x v="423"/>
    <x v="0"/>
    <x v="0"/>
    <x v="3"/>
    <x v="405"/>
    <x v="332"/>
    <x v="423"/>
    <x v="386"/>
    <x v="386"/>
    <x v="423"/>
    <x v="388"/>
    <x v="0"/>
    <x v="0"/>
    <x v="355"/>
    <x v="355"/>
    <x v="354"/>
    <x v="355"/>
    <x v="0"/>
    <x v="0"/>
    <x v="0"/>
  </r>
  <r>
    <x v="0"/>
    <x v="424"/>
    <x v="424"/>
    <x v="0"/>
    <x v="0"/>
    <x v="3"/>
    <x v="383"/>
    <x v="332"/>
    <x v="424"/>
    <x v="387"/>
    <x v="386"/>
    <x v="424"/>
    <x v="388"/>
    <x v="0"/>
    <x v="0"/>
    <x v="355"/>
    <x v="355"/>
    <x v="354"/>
    <x v="355"/>
    <x v="0"/>
    <x v="0"/>
    <x v="0"/>
  </r>
  <r>
    <x v="0"/>
    <x v="425"/>
    <x v="425"/>
    <x v="0"/>
    <x v="0"/>
    <x v="6"/>
    <x v="406"/>
    <x v="329"/>
    <x v="425"/>
    <x v="387"/>
    <x v="408"/>
    <x v="425"/>
    <x v="418"/>
    <x v="0"/>
    <x v="0"/>
    <x v="379"/>
    <x v="386"/>
    <x v="378"/>
    <x v="386"/>
    <x v="313"/>
    <x v="413"/>
    <x v="403"/>
  </r>
  <r>
    <x v="0"/>
    <x v="426"/>
    <x v="426"/>
    <x v="0"/>
    <x v="0"/>
    <x v="4"/>
    <x v="380"/>
    <x v="334"/>
    <x v="426"/>
    <x v="388"/>
    <x v="409"/>
    <x v="426"/>
    <x v="419"/>
    <x v="0"/>
    <x v="0"/>
    <x v="355"/>
    <x v="355"/>
    <x v="354"/>
    <x v="355"/>
    <x v="313"/>
    <x v="414"/>
    <x v="404"/>
  </r>
  <r>
    <x v="0"/>
    <x v="427"/>
    <x v="427"/>
    <x v="0"/>
    <x v="0"/>
    <x v="3"/>
    <x v="407"/>
    <x v="329"/>
    <x v="427"/>
    <x v="389"/>
    <x v="410"/>
    <x v="427"/>
    <x v="420"/>
    <x v="0"/>
    <x v="0"/>
    <x v="355"/>
    <x v="355"/>
    <x v="354"/>
    <x v="355"/>
    <x v="339"/>
    <x v="415"/>
    <x v="405"/>
  </r>
  <r>
    <x v="0"/>
    <x v="428"/>
    <x v="428"/>
    <x v="0"/>
    <x v="0"/>
    <x v="3"/>
    <x v="408"/>
    <x v="329"/>
    <x v="428"/>
    <x v="389"/>
    <x v="411"/>
    <x v="428"/>
    <x v="421"/>
    <x v="0"/>
    <x v="0"/>
    <x v="355"/>
    <x v="355"/>
    <x v="354"/>
    <x v="355"/>
    <x v="339"/>
    <x v="416"/>
    <x v="354"/>
  </r>
  <r>
    <x v="0"/>
    <x v="429"/>
    <x v="429"/>
    <x v="0"/>
    <x v="0"/>
    <x v="3"/>
    <x v="409"/>
    <x v="328"/>
    <x v="429"/>
    <x v="390"/>
    <x v="412"/>
    <x v="429"/>
    <x v="422"/>
    <x v="0"/>
    <x v="0"/>
    <x v="355"/>
    <x v="355"/>
    <x v="354"/>
    <x v="355"/>
    <x v="350"/>
    <x v="417"/>
    <x v="406"/>
  </r>
  <r>
    <x v="0"/>
    <x v="430"/>
    <x v="430"/>
    <x v="0"/>
    <x v="0"/>
    <x v="3"/>
    <x v="402"/>
    <x v="332"/>
    <x v="430"/>
    <x v="389"/>
    <x v="386"/>
    <x v="430"/>
    <x v="388"/>
    <x v="0"/>
    <x v="0"/>
    <x v="355"/>
    <x v="355"/>
    <x v="354"/>
    <x v="355"/>
    <x v="339"/>
    <x v="418"/>
    <x v="407"/>
  </r>
  <r>
    <x v="0"/>
    <x v="431"/>
    <x v="431"/>
    <x v="0"/>
    <x v="0"/>
    <x v="3"/>
    <x v="400"/>
    <x v="329"/>
    <x v="431"/>
    <x v="389"/>
    <x v="402"/>
    <x v="431"/>
    <x v="423"/>
    <x v="0"/>
    <x v="0"/>
    <x v="355"/>
    <x v="355"/>
    <x v="354"/>
    <x v="355"/>
    <x v="350"/>
    <x v="419"/>
    <x v="408"/>
  </r>
  <r>
    <x v="0"/>
    <x v="432"/>
    <x v="432"/>
    <x v="0"/>
    <x v="0"/>
    <x v="3"/>
    <x v="410"/>
    <x v="332"/>
    <x v="432"/>
    <x v="391"/>
    <x v="386"/>
    <x v="432"/>
    <x v="388"/>
    <x v="0"/>
    <x v="0"/>
    <x v="355"/>
    <x v="355"/>
    <x v="354"/>
    <x v="355"/>
    <x v="339"/>
    <x v="420"/>
    <x v="409"/>
  </r>
  <r>
    <x v="0"/>
    <x v="433"/>
    <x v="433"/>
    <x v="0"/>
    <x v="0"/>
    <x v="4"/>
    <x v="369"/>
    <x v="329"/>
    <x v="433"/>
    <x v="389"/>
    <x v="371"/>
    <x v="433"/>
    <x v="424"/>
    <x v="0"/>
    <x v="0"/>
    <x v="355"/>
    <x v="355"/>
    <x v="354"/>
    <x v="355"/>
    <x v="350"/>
    <x v="421"/>
    <x v="410"/>
  </r>
  <r>
    <x v="0"/>
    <x v="434"/>
    <x v="434"/>
    <x v="0"/>
    <x v="0"/>
    <x v="3"/>
    <x v="411"/>
    <x v="329"/>
    <x v="434"/>
    <x v="389"/>
    <x v="359"/>
    <x v="434"/>
    <x v="425"/>
    <x v="0"/>
    <x v="0"/>
    <x v="380"/>
    <x v="387"/>
    <x v="379"/>
    <x v="387"/>
    <x v="350"/>
    <x v="422"/>
    <x v="411"/>
  </r>
  <r>
    <x v="0"/>
    <x v="435"/>
    <x v="435"/>
    <x v="0"/>
    <x v="0"/>
    <x v="3"/>
    <x v="379"/>
    <x v="329"/>
    <x v="435"/>
    <x v="390"/>
    <x v="382"/>
    <x v="435"/>
    <x v="426"/>
    <x v="0"/>
    <x v="0"/>
    <x v="355"/>
    <x v="355"/>
    <x v="354"/>
    <x v="355"/>
    <x v="339"/>
    <x v="423"/>
    <x v="375"/>
  </r>
  <r>
    <x v="0"/>
    <x v="436"/>
    <x v="436"/>
    <x v="0"/>
    <x v="0"/>
    <x v="7"/>
    <x v="412"/>
    <x v="330"/>
    <x v="436"/>
    <x v="390"/>
    <x v="413"/>
    <x v="436"/>
    <x v="427"/>
    <x v="0"/>
    <x v="0"/>
    <x v="355"/>
    <x v="355"/>
    <x v="354"/>
    <x v="355"/>
    <x v="350"/>
    <x v="424"/>
    <x v="374"/>
  </r>
  <r>
    <x v="0"/>
    <x v="437"/>
    <x v="437"/>
    <x v="0"/>
    <x v="0"/>
    <x v="3"/>
    <x v="410"/>
    <x v="329"/>
    <x v="437"/>
    <x v="392"/>
    <x v="414"/>
    <x v="437"/>
    <x v="428"/>
    <x v="0"/>
    <x v="0"/>
    <x v="368"/>
    <x v="388"/>
    <x v="367"/>
    <x v="388"/>
    <x v="339"/>
    <x v="425"/>
    <x v="409"/>
  </r>
  <r>
    <x v="0"/>
    <x v="438"/>
    <x v="438"/>
    <x v="0"/>
    <x v="0"/>
    <x v="3"/>
    <x v="413"/>
    <x v="329"/>
    <x v="438"/>
    <x v="390"/>
    <x v="415"/>
    <x v="438"/>
    <x v="429"/>
    <x v="0"/>
    <x v="0"/>
    <x v="381"/>
    <x v="389"/>
    <x v="380"/>
    <x v="389"/>
    <x v="339"/>
    <x v="426"/>
    <x v="412"/>
  </r>
  <r>
    <x v="0"/>
    <x v="439"/>
    <x v="439"/>
    <x v="0"/>
    <x v="0"/>
    <x v="3"/>
    <x v="414"/>
    <x v="332"/>
    <x v="439"/>
    <x v="390"/>
    <x v="386"/>
    <x v="439"/>
    <x v="388"/>
    <x v="0"/>
    <x v="0"/>
    <x v="355"/>
    <x v="355"/>
    <x v="354"/>
    <x v="355"/>
    <x v="0"/>
    <x v="0"/>
    <x v="0"/>
  </r>
  <r>
    <x v="0"/>
    <x v="440"/>
    <x v="440"/>
    <x v="0"/>
    <x v="0"/>
    <x v="3"/>
    <x v="402"/>
    <x v="328"/>
    <x v="440"/>
    <x v="392"/>
    <x v="416"/>
    <x v="440"/>
    <x v="430"/>
    <x v="0"/>
    <x v="0"/>
    <x v="355"/>
    <x v="355"/>
    <x v="354"/>
    <x v="355"/>
    <x v="350"/>
    <x v="427"/>
    <x v="358"/>
  </r>
  <r>
    <x v="0"/>
    <x v="441"/>
    <x v="441"/>
    <x v="0"/>
    <x v="0"/>
    <x v="7"/>
    <x v="415"/>
    <x v="332"/>
    <x v="441"/>
    <x v="392"/>
    <x v="386"/>
    <x v="441"/>
    <x v="388"/>
    <x v="0"/>
    <x v="0"/>
    <x v="355"/>
    <x v="355"/>
    <x v="354"/>
    <x v="355"/>
    <x v="339"/>
    <x v="428"/>
    <x v="413"/>
  </r>
  <r>
    <x v="0"/>
    <x v="442"/>
    <x v="442"/>
    <x v="0"/>
    <x v="0"/>
    <x v="3"/>
    <x v="404"/>
    <x v="329"/>
    <x v="442"/>
    <x v="391"/>
    <x v="417"/>
    <x v="442"/>
    <x v="431"/>
    <x v="0"/>
    <x v="0"/>
    <x v="355"/>
    <x v="355"/>
    <x v="354"/>
    <x v="355"/>
    <x v="339"/>
    <x v="429"/>
    <x v="402"/>
  </r>
  <r>
    <x v="0"/>
    <x v="443"/>
    <x v="443"/>
    <x v="0"/>
    <x v="0"/>
    <x v="7"/>
    <x v="416"/>
    <x v="329"/>
    <x v="443"/>
    <x v="393"/>
    <x v="418"/>
    <x v="443"/>
    <x v="432"/>
    <x v="0"/>
    <x v="0"/>
    <x v="355"/>
    <x v="355"/>
    <x v="354"/>
    <x v="355"/>
    <x v="0"/>
    <x v="0"/>
    <x v="0"/>
  </r>
  <r>
    <x v="0"/>
    <x v="444"/>
    <x v="444"/>
    <x v="0"/>
    <x v="0"/>
    <x v="3"/>
    <x v="417"/>
    <x v="329"/>
    <x v="444"/>
    <x v="391"/>
    <x v="400"/>
    <x v="444"/>
    <x v="433"/>
    <x v="0"/>
    <x v="0"/>
    <x v="355"/>
    <x v="355"/>
    <x v="354"/>
    <x v="355"/>
    <x v="339"/>
    <x v="430"/>
    <x v="381"/>
  </r>
  <r>
    <x v="0"/>
    <x v="445"/>
    <x v="445"/>
    <x v="0"/>
    <x v="0"/>
    <x v="4"/>
    <x v="382"/>
    <x v="323"/>
    <x v="445"/>
    <x v="392"/>
    <x v="419"/>
    <x v="445"/>
    <x v="434"/>
    <x v="0"/>
    <x v="0"/>
    <x v="355"/>
    <x v="355"/>
    <x v="354"/>
    <x v="355"/>
    <x v="0"/>
    <x v="0"/>
    <x v="0"/>
  </r>
  <r>
    <x v="0"/>
    <x v="446"/>
    <x v="446"/>
    <x v="0"/>
    <x v="0"/>
    <x v="3"/>
    <x v="418"/>
    <x v="329"/>
    <x v="446"/>
    <x v="394"/>
    <x v="373"/>
    <x v="446"/>
    <x v="435"/>
    <x v="0"/>
    <x v="0"/>
    <x v="382"/>
    <x v="390"/>
    <x v="381"/>
    <x v="390"/>
    <x v="339"/>
    <x v="431"/>
    <x v="414"/>
  </r>
  <r>
    <x v="0"/>
    <x v="447"/>
    <x v="447"/>
    <x v="0"/>
    <x v="0"/>
    <x v="3"/>
    <x v="407"/>
    <x v="332"/>
    <x v="447"/>
    <x v="391"/>
    <x v="386"/>
    <x v="447"/>
    <x v="388"/>
    <x v="0"/>
    <x v="0"/>
    <x v="355"/>
    <x v="355"/>
    <x v="354"/>
    <x v="355"/>
    <x v="0"/>
    <x v="0"/>
    <x v="0"/>
  </r>
  <r>
    <x v="0"/>
    <x v="448"/>
    <x v="448"/>
    <x v="0"/>
    <x v="0"/>
    <x v="7"/>
    <x v="419"/>
    <x v="329"/>
    <x v="448"/>
    <x v="391"/>
    <x v="420"/>
    <x v="448"/>
    <x v="436"/>
    <x v="0"/>
    <x v="0"/>
    <x v="355"/>
    <x v="355"/>
    <x v="354"/>
    <x v="355"/>
    <x v="339"/>
    <x v="432"/>
    <x v="415"/>
  </r>
  <r>
    <x v="0"/>
    <x v="449"/>
    <x v="449"/>
    <x v="0"/>
    <x v="0"/>
    <x v="3"/>
    <x v="405"/>
    <x v="329"/>
    <x v="449"/>
    <x v="394"/>
    <x v="421"/>
    <x v="449"/>
    <x v="437"/>
    <x v="0"/>
    <x v="0"/>
    <x v="355"/>
    <x v="355"/>
    <x v="354"/>
    <x v="355"/>
    <x v="339"/>
    <x v="433"/>
    <x v="416"/>
  </r>
  <r>
    <x v="0"/>
    <x v="450"/>
    <x v="450"/>
    <x v="0"/>
    <x v="0"/>
    <x v="3"/>
    <x v="404"/>
    <x v="328"/>
    <x v="450"/>
    <x v="391"/>
    <x v="422"/>
    <x v="450"/>
    <x v="438"/>
    <x v="0"/>
    <x v="0"/>
    <x v="355"/>
    <x v="355"/>
    <x v="354"/>
    <x v="355"/>
    <x v="350"/>
    <x v="434"/>
    <x v="417"/>
  </r>
  <r>
    <x v="0"/>
    <x v="451"/>
    <x v="451"/>
    <x v="0"/>
    <x v="0"/>
    <x v="1"/>
    <x v="382"/>
    <x v="332"/>
    <x v="451"/>
    <x v="392"/>
    <x v="386"/>
    <x v="451"/>
    <x v="388"/>
    <x v="0"/>
    <x v="0"/>
    <x v="355"/>
    <x v="355"/>
    <x v="354"/>
    <x v="355"/>
    <x v="313"/>
    <x v="435"/>
    <x v="418"/>
  </r>
  <r>
    <x v="0"/>
    <x v="452"/>
    <x v="452"/>
    <x v="0"/>
    <x v="0"/>
    <x v="4"/>
    <x v="420"/>
    <x v="332"/>
    <x v="452"/>
    <x v="391"/>
    <x v="386"/>
    <x v="452"/>
    <x v="388"/>
    <x v="0"/>
    <x v="0"/>
    <x v="355"/>
    <x v="355"/>
    <x v="354"/>
    <x v="355"/>
    <x v="339"/>
    <x v="436"/>
    <x v="419"/>
  </r>
  <r>
    <x v="0"/>
    <x v="453"/>
    <x v="453"/>
    <x v="0"/>
    <x v="0"/>
    <x v="3"/>
    <x v="382"/>
    <x v="332"/>
    <x v="453"/>
    <x v="393"/>
    <x v="386"/>
    <x v="453"/>
    <x v="388"/>
    <x v="0"/>
    <x v="0"/>
    <x v="355"/>
    <x v="355"/>
    <x v="354"/>
    <x v="355"/>
    <x v="339"/>
    <x v="437"/>
    <x v="382"/>
  </r>
  <r>
    <x v="0"/>
    <x v="454"/>
    <x v="454"/>
    <x v="0"/>
    <x v="0"/>
    <x v="3"/>
    <x v="421"/>
    <x v="329"/>
    <x v="454"/>
    <x v="394"/>
    <x v="423"/>
    <x v="454"/>
    <x v="439"/>
    <x v="0"/>
    <x v="0"/>
    <x v="355"/>
    <x v="355"/>
    <x v="354"/>
    <x v="355"/>
    <x v="339"/>
    <x v="438"/>
    <x v="356"/>
  </r>
  <r>
    <x v="0"/>
    <x v="455"/>
    <x v="455"/>
    <x v="0"/>
    <x v="0"/>
    <x v="3"/>
    <x v="421"/>
    <x v="332"/>
    <x v="455"/>
    <x v="393"/>
    <x v="386"/>
    <x v="455"/>
    <x v="388"/>
    <x v="0"/>
    <x v="0"/>
    <x v="355"/>
    <x v="355"/>
    <x v="354"/>
    <x v="355"/>
    <x v="0"/>
    <x v="0"/>
    <x v="0"/>
  </r>
  <r>
    <x v="0"/>
    <x v="456"/>
    <x v="456"/>
    <x v="0"/>
    <x v="0"/>
    <x v="0"/>
    <x v="422"/>
    <x v="321"/>
    <x v="456"/>
    <x v="391"/>
    <x v="424"/>
    <x v="456"/>
    <x v="440"/>
    <x v="0"/>
    <x v="0"/>
    <x v="355"/>
    <x v="355"/>
    <x v="354"/>
    <x v="355"/>
    <x v="0"/>
    <x v="0"/>
    <x v="0"/>
  </r>
  <r>
    <x v="0"/>
    <x v="457"/>
    <x v="457"/>
    <x v="0"/>
    <x v="0"/>
    <x v="3"/>
    <x v="423"/>
    <x v="329"/>
    <x v="457"/>
    <x v="393"/>
    <x v="390"/>
    <x v="457"/>
    <x v="441"/>
    <x v="0"/>
    <x v="0"/>
    <x v="355"/>
    <x v="355"/>
    <x v="354"/>
    <x v="355"/>
    <x v="339"/>
    <x v="439"/>
    <x v="420"/>
  </r>
  <r>
    <x v="0"/>
    <x v="458"/>
    <x v="458"/>
    <x v="0"/>
    <x v="0"/>
    <x v="3"/>
    <x v="423"/>
    <x v="329"/>
    <x v="458"/>
    <x v="393"/>
    <x v="390"/>
    <x v="458"/>
    <x v="442"/>
    <x v="0"/>
    <x v="0"/>
    <x v="355"/>
    <x v="355"/>
    <x v="354"/>
    <x v="355"/>
    <x v="339"/>
    <x v="440"/>
    <x v="420"/>
  </r>
  <r>
    <x v="0"/>
    <x v="459"/>
    <x v="459"/>
    <x v="0"/>
    <x v="0"/>
    <x v="7"/>
    <x v="424"/>
    <x v="329"/>
    <x v="459"/>
    <x v="393"/>
    <x v="425"/>
    <x v="459"/>
    <x v="443"/>
    <x v="0"/>
    <x v="0"/>
    <x v="355"/>
    <x v="355"/>
    <x v="354"/>
    <x v="355"/>
    <x v="0"/>
    <x v="0"/>
    <x v="0"/>
  </r>
  <r>
    <x v="0"/>
    <x v="460"/>
    <x v="460"/>
    <x v="0"/>
    <x v="0"/>
    <x v="3"/>
    <x v="392"/>
    <x v="329"/>
    <x v="460"/>
    <x v="393"/>
    <x v="355"/>
    <x v="460"/>
    <x v="444"/>
    <x v="0"/>
    <x v="0"/>
    <x v="355"/>
    <x v="355"/>
    <x v="354"/>
    <x v="355"/>
    <x v="339"/>
    <x v="441"/>
    <x v="421"/>
  </r>
  <r>
    <x v="0"/>
    <x v="461"/>
    <x v="461"/>
    <x v="0"/>
    <x v="0"/>
    <x v="3"/>
    <x v="425"/>
    <x v="332"/>
    <x v="461"/>
    <x v="393"/>
    <x v="386"/>
    <x v="461"/>
    <x v="388"/>
    <x v="0"/>
    <x v="0"/>
    <x v="355"/>
    <x v="355"/>
    <x v="354"/>
    <x v="355"/>
    <x v="0"/>
    <x v="0"/>
    <x v="0"/>
  </r>
  <r>
    <x v="0"/>
    <x v="462"/>
    <x v="462"/>
    <x v="0"/>
    <x v="0"/>
    <x v="3"/>
    <x v="422"/>
    <x v="329"/>
    <x v="462"/>
    <x v="393"/>
    <x v="361"/>
    <x v="462"/>
    <x v="445"/>
    <x v="0"/>
    <x v="0"/>
    <x v="355"/>
    <x v="355"/>
    <x v="354"/>
    <x v="355"/>
    <x v="339"/>
    <x v="442"/>
    <x v="422"/>
  </r>
  <r>
    <x v="0"/>
    <x v="463"/>
    <x v="463"/>
    <x v="0"/>
    <x v="0"/>
    <x v="7"/>
    <x v="423"/>
    <x v="329"/>
    <x v="463"/>
    <x v="395"/>
    <x v="390"/>
    <x v="463"/>
    <x v="446"/>
    <x v="0"/>
    <x v="0"/>
    <x v="355"/>
    <x v="355"/>
    <x v="354"/>
    <x v="355"/>
    <x v="339"/>
    <x v="443"/>
    <x v="420"/>
  </r>
  <r>
    <x v="0"/>
    <x v="464"/>
    <x v="464"/>
    <x v="0"/>
    <x v="0"/>
    <x v="7"/>
    <x v="426"/>
    <x v="332"/>
    <x v="464"/>
    <x v="395"/>
    <x v="386"/>
    <x v="464"/>
    <x v="388"/>
    <x v="0"/>
    <x v="0"/>
    <x v="355"/>
    <x v="355"/>
    <x v="354"/>
    <x v="355"/>
    <x v="339"/>
    <x v="444"/>
    <x v="423"/>
  </r>
  <r>
    <x v="0"/>
    <x v="465"/>
    <x v="465"/>
    <x v="0"/>
    <x v="0"/>
    <x v="1"/>
    <x v="421"/>
    <x v="332"/>
    <x v="465"/>
    <x v="395"/>
    <x v="386"/>
    <x v="465"/>
    <x v="388"/>
    <x v="0"/>
    <x v="0"/>
    <x v="355"/>
    <x v="355"/>
    <x v="354"/>
    <x v="355"/>
    <x v="339"/>
    <x v="445"/>
    <x v="356"/>
  </r>
  <r>
    <x v="0"/>
    <x v="466"/>
    <x v="466"/>
    <x v="0"/>
    <x v="0"/>
    <x v="5"/>
    <x v="422"/>
    <x v="329"/>
    <x v="466"/>
    <x v="395"/>
    <x v="361"/>
    <x v="466"/>
    <x v="447"/>
    <x v="0"/>
    <x v="0"/>
    <x v="355"/>
    <x v="355"/>
    <x v="354"/>
    <x v="355"/>
    <x v="339"/>
    <x v="446"/>
    <x v="422"/>
  </r>
  <r>
    <x v="0"/>
    <x v="467"/>
    <x v="467"/>
    <x v="0"/>
    <x v="0"/>
    <x v="3"/>
    <x v="425"/>
    <x v="329"/>
    <x v="467"/>
    <x v="396"/>
    <x v="416"/>
    <x v="467"/>
    <x v="448"/>
    <x v="0"/>
    <x v="0"/>
    <x v="355"/>
    <x v="355"/>
    <x v="354"/>
    <x v="355"/>
    <x v="350"/>
    <x v="447"/>
    <x v="424"/>
  </r>
  <r>
    <x v="0"/>
    <x v="468"/>
    <x v="468"/>
    <x v="0"/>
    <x v="0"/>
    <x v="3"/>
    <x v="425"/>
    <x v="329"/>
    <x v="468"/>
    <x v="396"/>
    <x v="416"/>
    <x v="468"/>
    <x v="449"/>
    <x v="0"/>
    <x v="0"/>
    <x v="355"/>
    <x v="355"/>
    <x v="354"/>
    <x v="355"/>
    <x v="339"/>
    <x v="448"/>
    <x v="358"/>
  </r>
  <r>
    <x v="0"/>
    <x v="469"/>
    <x v="469"/>
    <x v="0"/>
    <x v="0"/>
    <x v="7"/>
    <x v="417"/>
    <x v="332"/>
    <x v="469"/>
    <x v="397"/>
    <x v="386"/>
    <x v="469"/>
    <x v="388"/>
    <x v="0"/>
    <x v="0"/>
    <x v="355"/>
    <x v="355"/>
    <x v="354"/>
    <x v="355"/>
    <x v="339"/>
    <x v="449"/>
    <x v="381"/>
  </r>
  <r>
    <x v="0"/>
    <x v="470"/>
    <x v="470"/>
    <x v="0"/>
    <x v="0"/>
    <x v="3"/>
    <x v="408"/>
    <x v="332"/>
    <x v="470"/>
    <x v="396"/>
    <x v="386"/>
    <x v="470"/>
    <x v="388"/>
    <x v="0"/>
    <x v="0"/>
    <x v="355"/>
    <x v="355"/>
    <x v="354"/>
    <x v="355"/>
    <x v="0"/>
    <x v="0"/>
    <x v="0"/>
  </r>
  <r>
    <x v="0"/>
    <x v="471"/>
    <x v="471"/>
    <x v="0"/>
    <x v="0"/>
    <x v="3"/>
    <x v="413"/>
    <x v="332"/>
    <x v="471"/>
    <x v="396"/>
    <x v="386"/>
    <x v="471"/>
    <x v="388"/>
    <x v="0"/>
    <x v="0"/>
    <x v="355"/>
    <x v="355"/>
    <x v="354"/>
    <x v="355"/>
    <x v="0"/>
    <x v="0"/>
    <x v="0"/>
  </r>
  <r>
    <x v="0"/>
    <x v="472"/>
    <x v="472"/>
    <x v="0"/>
    <x v="0"/>
    <x v="3"/>
    <x v="427"/>
    <x v="329"/>
    <x v="472"/>
    <x v="396"/>
    <x v="426"/>
    <x v="472"/>
    <x v="450"/>
    <x v="0"/>
    <x v="0"/>
    <x v="355"/>
    <x v="355"/>
    <x v="354"/>
    <x v="355"/>
    <x v="339"/>
    <x v="450"/>
    <x v="369"/>
  </r>
  <r>
    <x v="0"/>
    <x v="473"/>
    <x v="473"/>
    <x v="0"/>
    <x v="0"/>
    <x v="7"/>
    <x v="371"/>
    <x v="329"/>
    <x v="473"/>
    <x v="396"/>
    <x v="354"/>
    <x v="473"/>
    <x v="451"/>
    <x v="0"/>
    <x v="0"/>
    <x v="368"/>
    <x v="391"/>
    <x v="367"/>
    <x v="391"/>
    <x v="0"/>
    <x v="0"/>
    <x v="0"/>
  </r>
  <r>
    <x v="0"/>
    <x v="474"/>
    <x v="474"/>
    <x v="0"/>
    <x v="0"/>
    <x v="7"/>
    <x v="413"/>
    <x v="329"/>
    <x v="474"/>
    <x v="396"/>
    <x v="415"/>
    <x v="474"/>
    <x v="452"/>
    <x v="0"/>
    <x v="0"/>
    <x v="381"/>
    <x v="392"/>
    <x v="380"/>
    <x v="392"/>
    <x v="0"/>
    <x v="0"/>
    <x v="0"/>
  </r>
  <r>
    <x v="0"/>
    <x v="475"/>
    <x v="475"/>
    <x v="0"/>
    <x v="0"/>
    <x v="3"/>
    <x v="428"/>
    <x v="332"/>
    <x v="475"/>
    <x v="398"/>
    <x v="386"/>
    <x v="475"/>
    <x v="388"/>
    <x v="0"/>
    <x v="0"/>
    <x v="355"/>
    <x v="355"/>
    <x v="354"/>
    <x v="355"/>
    <x v="339"/>
    <x v="451"/>
    <x v="385"/>
  </r>
  <r>
    <x v="0"/>
    <x v="476"/>
    <x v="476"/>
    <x v="0"/>
    <x v="0"/>
    <x v="1"/>
    <x v="429"/>
    <x v="328"/>
    <x v="476"/>
    <x v="396"/>
    <x v="427"/>
    <x v="476"/>
    <x v="453"/>
    <x v="0"/>
    <x v="0"/>
    <x v="383"/>
    <x v="393"/>
    <x v="382"/>
    <x v="393"/>
    <x v="349"/>
    <x v="452"/>
    <x v="425"/>
  </r>
  <r>
    <x v="0"/>
    <x v="477"/>
    <x v="477"/>
    <x v="0"/>
    <x v="0"/>
    <x v="1"/>
    <x v="430"/>
    <x v="332"/>
    <x v="477"/>
    <x v="396"/>
    <x v="386"/>
    <x v="477"/>
    <x v="388"/>
    <x v="0"/>
    <x v="0"/>
    <x v="355"/>
    <x v="355"/>
    <x v="354"/>
    <x v="355"/>
    <x v="339"/>
    <x v="453"/>
    <x v="426"/>
  </r>
  <r>
    <x v="0"/>
    <x v="478"/>
    <x v="478"/>
    <x v="0"/>
    <x v="0"/>
    <x v="7"/>
    <x v="430"/>
    <x v="332"/>
    <x v="478"/>
    <x v="399"/>
    <x v="386"/>
    <x v="478"/>
    <x v="388"/>
    <x v="0"/>
    <x v="0"/>
    <x v="355"/>
    <x v="355"/>
    <x v="354"/>
    <x v="355"/>
    <x v="0"/>
    <x v="0"/>
    <x v="0"/>
  </r>
  <r>
    <x v="0"/>
    <x v="479"/>
    <x v="479"/>
    <x v="0"/>
    <x v="0"/>
    <x v="1"/>
    <x v="406"/>
    <x v="332"/>
    <x v="479"/>
    <x v="399"/>
    <x v="386"/>
    <x v="479"/>
    <x v="388"/>
    <x v="0"/>
    <x v="0"/>
    <x v="355"/>
    <x v="355"/>
    <x v="354"/>
    <x v="355"/>
    <x v="0"/>
    <x v="0"/>
    <x v="0"/>
  </r>
  <r>
    <x v="0"/>
    <x v="480"/>
    <x v="480"/>
    <x v="0"/>
    <x v="0"/>
    <x v="3"/>
    <x v="425"/>
    <x v="332"/>
    <x v="480"/>
    <x v="400"/>
    <x v="386"/>
    <x v="480"/>
    <x v="388"/>
    <x v="0"/>
    <x v="0"/>
    <x v="355"/>
    <x v="355"/>
    <x v="354"/>
    <x v="355"/>
    <x v="0"/>
    <x v="0"/>
    <x v="0"/>
  </r>
  <r>
    <x v="0"/>
    <x v="481"/>
    <x v="481"/>
    <x v="0"/>
    <x v="0"/>
    <x v="1"/>
    <x v="431"/>
    <x v="332"/>
    <x v="481"/>
    <x v="396"/>
    <x v="386"/>
    <x v="481"/>
    <x v="388"/>
    <x v="0"/>
    <x v="0"/>
    <x v="355"/>
    <x v="355"/>
    <x v="354"/>
    <x v="355"/>
    <x v="339"/>
    <x v="454"/>
    <x v="427"/>
  </r>
  <r>
    <x v="0"/>
    <x v="482"/>
    <x v="482"/>
    <x v="0"/>
    <x v="0"/>
    <x v="3"/>
    <x v="432"/>
    <x v="332"/>
    <x v="482"/>
    <x v="400"/>
    <x v="386"/>
    <x v="482"/>
    <x v="388"/>
    <x v="0"/>
    <x v="0"/>
    <x v="355"/>
    <x v="355"/>
    <x v="354"/>
    <x v="355"/>
    <x v="0"/>
    <x v="0"/>
    <x v="0"/>
  </r>
  <r>
    <x v="0"/>
    <x v="483"/>
    <x v="483"/>
    <x v="0"/>
    <x v="0"/>
    <x v="5"/>
    <x v="433"/>
    <x v="332"/>
    <x v="483"/>
    <x v="398"/>
    <x v="386"/>
    <x v="483"/>
    <x v="388"/>
    <x v="0"/>
    <x v="0"/>
    <x v="355"/>
    <x v="355"/>
    <x v="354"/>
    <x v="355"/>
    <x v="0"/>
    <x v="0"/>
    <x v="0"/>
  </r>
  <r>
    <x v="0"/>
    <x v="484"/>
    <x v="484"/>
    <x v="0"/>
    <x v="0"/>
    <x v="1"/>
    <x v="434"/>
    <x v="332"/>
    <x v="484"/>
    <x v="400"/>
    <x v="386"/>
    <x v="484"/>
    <x v="388"/>
    <x v="0"/>
    <x v="0"/>
    <x v="355"/>
    <x v="355"/>
    <x v="354"/>
    <x v="355"/>
    <x v="0"/>
    <x v="0"/>
    <x v="0"/>
  </r>
  <r>
    <x v="0"/>
    <x v="485"/>
    <x v="485"/>
    <x v="0"/>
    <x v="0"/>
    <x v="1"/>
    <x v="435"/>
    <x v="329"/>
    <x v="485"/>
    <x v="398"/>
    <x v="428"/>
    <x v="485"/>
    <x v="454"/>
    <x v="0"/>
    <x v="0"/>
    <x v="355"/>
    <x v="355"/>
    <x v="354"/>
    <x v="355"/>
    <x v="349"/>
    <x v="455"/>
    <x v="414"/>
  </r>
  <r>
    <x v="0"/>
    <x v="486"/>
    <x v="486"/>
    <x v="0"/>
    <x v="0"/>
    <x v="1"/>
    <x v="397"/>
    <x v="329"/>
    <x v="486"/>
    <x v="398"/>
    <x v="429"/>
    <x v="486"/>
    <x v="455"/>
    <x v="0"/>
    <x v="0"/>
    <x v="378"/>
    <x v="394"/>
    <x v="377"/>
    <x v="394"/>
    <x v="350"/>
    <x v="456"/>
    <x v="428"/>
  </r>
  <r>
    <x v="0"/>
    <x v="487"/>
    <x v="487"/>
    <x v="0"/>
    <x v="0"/>
    <x v="0"/>
    <x v="436"/>
    <x v="332"/>
    <x v="487"/>
    <x v="400"/>
    <x v="386"/>
    <x v="487"/>
    <x v="388"/>
    <x v="0"/>
    <x v="0"/>
    <x v="355"/>
    <x v="355"/>
    <x v="354"/>
    <x v="355"/>
    <x v="0"/>
    <x v="0"/>
    <x v="0"/>
  </r>
  <r>
    <x v="0"/>
    <x v="488"/>
    <x v="488"/>
    <x v="0"/>
    <x v="0"/>
    <x v="1"/>
    <x v="437"/>
    <x v="332"/>
    <x v="488"/>
    <x v="400"/>
    <x v="386"/>
    <x v="488"/>
    <x v="388"/>
    <x v="0"/>
    <x v="0"/>
    <x v="355"/>
    <x v="355"/>
    <x v="354"/>
    <x v="355"/>
    <x v="0"/>
    <x v="0"/>
    <x v="0"/>
  </r>
  <r>
    <x v="0"/>
    <x v="489"/>
    <x v="489"/>
    <x v="0"/>
    <x v="0"/>
    <x v="1"/>
    <x v="438"/>
    <x v="329"/>
    <x v="489"/>
    <x v="400"/>
    <x v="430"/>
    <x v="489"/>
    <x v="456"/>
    <x v="0"/>
    <x v="0"/>
    <x v="350"/>
    <x v="395"/>
    <x v="349"/>
    <x v="395"/>
    <x v="350"/>
    <x v="457"/>
    <x v="429"/>
  </r>
  <r>
    <x v="0"/>
    <x v="490"/>
    <x v="490"/>
    <x v="0"/>
    <x v="0"/>
    <x v="0"/>
    <x v="433"/>
    <x v="329"/>
    <x v="490"/>
    <x v="400"/>
    <x v="431"/>
    <x v="490"/>
    <x v="457"/>
    <x v="0"/>
    <x v="0"/>
    <x v="355"/>
    <x v="355"/>
    <x v="354"/>
    <x v="355"/>
    <x v="0"/>
    <x v="0"/>
    <x v="0"/>
  </r>
  <r>
    <x v="0"/>
    <x v="491"/>
    <x v="491"/>
    <x v="0"/>
    <x v="0"/>
    <x v="1"/>
    <x v="439"/>
    <x v="329"/>
    <x v="491"/>
    <x v="400"/>
    <x v="432"/>
    <x v="491"/>
    <x v="458"/>
    <x v="0"/>
    <x v="0"/>
    <x v="378"/>
    <x v="396"/>
    <x v="377"/>
    <x v="396"/>
    <x v="339"/>
    <x v="458"/>
    <x v="430"/>
  </r>
  <r>
    <x v="0"/>
    <x v="492"/>
    <x v="492"/>
    <x v="0"/>
    <x v="0"/>
    <x v="4"/>
    <x v="436"/>
    <x v="332"/>
    <x v="492"/>
    <x v="400"/>
    <x v="386"/>
    <x v="492"/>
    <x v="388"/>
    <x v="0"/>
    <x v="0"/>
    <x v="355"/>
    <x v="355"/>
    <x v="354"/>
    <x v="355"/>
    <x v="0"/>
    <x v="0"/>
    <x v="0"/>
  </r>
  <r>
    <x v="0"/>
    <x v="493"/>
    <x v="493"/>
    <x v="0"/>
    <x v="0"/>
    <x v="1"/>
    <x v="440"/>
    <x v="329"/>
    <x v="493"/>
    <x v="400"/>
    <x v="433"/>
    <x v="493"/>
    <x v="459"/>
    <x v="0"/>
    <x v="0"/>
    <x v="384"/>
    <x v="397"/>
    <x v="383"/>
    <x v="397"/>
    <x v="339"/>
    <x v="459"/>
    <x v="431"/>
  </r>
  <r>
    <x v="0"/>
    <x v="494"/>
    <x v="494"/>
    <x v="0"/>
    <x v="0"/>
    <x v="0"/>
    <x v="441"/>
    <x v="332"/>
    <x v="494"/>
    <x v="400"/>
    <x v="386"/>
    <x v="494"/>
    <x v="388"/>
    <x v="0"/>
    <x v="0"/>
    <x v="355"/>
    <x v="355"/>
    <x v="354"/>
    <x v="355"/>
    <x v="0"/>
    <x v="0"/>
    <x v="0"/>
  </r>
  <r>
    <x v="0"/>
    <x v="495"/>
    <x v="495"/>
    <x v="0"/>
    <x v="0"/>
    <x v="1"/>
    <x v="442"/>
    <x v="332"/>
    <x v="495"/>
    <x v="400"/>
    <x v="386"/>
    <x v="495"/>
    <x v="388"/>
    <x v="0"/>
    <x v="0"/>
    <x v="355"/>
    <x v="355"/>
    <x v="354"/>
    <x v="355"/>
    <x v="339"/>
    <x v="460"/>
    <x v="432"/>
  </r>
  <r>
    <x v="0"/>
    <x v="496"/>
    <x v="496"/>
    <x v="0"/>
    <x v="0"/>
    <x v="0"/>
    <x v="433"/>
    <x v="329"/>
    <x v="496"/>
    <x v="400"/>
    <x v="431"/>
    <x v="496"/>
    <x v="460"/>
    <x v="0"/>
    <x v="0"/>
    <x v="355"/>
    <x v="355"/>
    <x v="354"/>
    <x v="355"/>
    <x v="339"/>
    <x v="461"/>
    <x v="433"/>
  </r>
  <r>
    <x v="0"/>
    <x v="497"/>
    <x v="497"/>
    <x v="0"/>
    <x v="0"/>
    <x v="4"/>
    <x v="422"/>
    <x v="332"/>
    <x v="497"/>
    <x v="400"/>
    <x v="386"/>
    <x v="497"/>
    <x v="388"/>
    <x v="0"/>
    <x v="0"/>
    <x v="355"/>
    <x v="355"/>
    <x v="354"/>
    <x v="355"/>
    <x v="0"/>
    <x v="0"/>
    <x v="0"/>
  </r>
  <r>
    <x v="0"/>
    <x v="498"/>
    <x v="498"/>
    <x v="0"/>
    <x v="0"/>
    <x v="5"/>
    <x v="441"/>
    <x v="329"/>
    <x v="498"/>
    <x v="400"/>
    <x v="434"/>
    <x v="498"/>
    <x v="461"/>
    <x v="0"/>
    <x v="0"/>
    <x v="355"/>
    <x v="355"/>
    <x v="354"/>
    <x v="355"/>
    <x v="0"/>
    <x v="0"/>
    <x v="0"/>
  </r>
  <r>
    <x v="0"/>
    <x v="499"/>
    <x v="499"/>
    <x v="0"/>
    <x v="0"/>
    <x v="7"/>
    <x v="389"/>
    <x v="329"/>
    <x v="499"/>
    <x v="400"/>
    <x v="435"/>
    <x v="499"/>
    <x v="462"/>
    <x v="0"/>
    <x v="0"/>
    <x v="355"/>
    <x v="355"/>
    <x v="354"/>
    <x v="355"/>
    <x v="0"/>
    <x v="0"/>
    <x v="0"/>
  </r>
  <r>
    <x v="0"/>
    <x v="500"/>
    <x v="500"/>
    <x v="0"/>
    <x v="0"/>
    <x v="5"/>
    <x v="436"/>
    <x v="329"/>
    <x v="500"/>
    <x v="401"/>
    <x v="436"/>
    <x v="500"/>
    <x v="463"/>
    <x v="0"/>
    <x v="0"/>
    <x v="355"/>
    <x v="355"/>
    <x v="354"/>
    <x v="355"/>
    <x v="0"/>
    <x v="0"/>
    <x v="0"/>
  </r>
  <r>
    <x v="0"/>
    <x v="501"/>
    <x v="501"/>
    <x v="0"/>
    <x v="0"/>
    <x v="1"/>
    <x v="443"/>
    <x v="332"/>
    <x v="501"/>
    <x v="400"/>
    <x v="386"/>
    <x v="501"/>
    <x v="388"/>
    <x v="0"/>
    <x v="0"/>
    <x v="355"/>
    <x v="355"/>
    <x v="354"/>
    <x v="355"/>
    <x v="339"/>
    <x v="462"/>
    <x v="434"/>
  </r>
  <r>
    <x v="0"/>
    <x v="502"/>
    <x v="502"/>
    <x v="0"/>
    <x v="0"/>
    <x v="0"/>
    <x v="406"/>
    <x v="329"/>
    <x v="502"/>
    <x v="400"/>
    <x v="408"/>
    <x v="502"/>
    <x v="464"/>
    <x v="0"/>
    <x v="0"/>
    <x v="355"/>
    <x v="355"/>
    <x v="354"/>
    <x v="355"/>
    <x v="339"/>
    <x v="463"/>
    <x v="404"/>
  </r>
  <r>
    <x v="0"/>
    <x v="503"/>
    <x v="503"/>
    <x v="0"/>
    <x v="0"/>
    <x v="5"/>
    <x v="433"/>
    <x v="332"/>
    <x v="503"/>
    <x v="401"/>
    <x v="386"/>
    <x v="503"/>
    <x v="388"/>
    <x v="0"/>
    <x v="0"/>
    <x v="355"/>
    <x v="355"/>
    <x v="354"/>
    <x v="355"/>
    <x v="0"/>
    <x v="0"/>
    <x v="0"/>
  </r>
  <r>
    <x v="0"/>
    <x v="504"/>
    <x v="504"/>
    <x v="0"/>
    <x v="0"/>
    <x v="3"/>
    <x v="444"/>
    <x v="332"/>
    <x v="504"/>
    <x v="401"/>
    <x v="386"/>
    <x v="504"/>
    <x v="388"/>
    <x v="0"/>
    <x v="0"/>
    <x v="355"/>
    <x v="355"/>
    <x v="354"/>
    <x v="355"/>
    <x v="0"/>
    <x v="0"/>
    <x v="0"/>
  </r>
  <r>
    <x v="0"/>
    <x v="505"/>
    <x v="505"/>
    <x v="0"/>
    <x v="0"/>
    <x v="4"/>
    <x v="445"/>
    <x v="332"/>
    <x v="504"/>
    <x v="401"/>
    <x v="386"/>
    <x v="505"/>
    <x v="388"/>
    <x v="0"/>
    <x v="0"/>
    <x v="355"/>
    <x v="355"/>
    <x v="354"/>
    <x v="355"/>
    <x v="0"/>
    <x v="0"/>
    <x v="0"/>
  </r>
  <r>
    <x v="0"/>
    <x v="506"/>
    <x v="506"/>
    <x v="0"/>
    <x v="0"/>
    <x v="1"/>
    <x v="446"/>
    <x v="332"/>
    <x v="505"/>
    <x v="401"/>
    <x v="386"/>
    <x v="506"/>
    <x v="388"/>
    <x v="0"/>
    <x v="0"/>
    <x v="355"/>
    <x v="355"/>
    <x v="354"/>
    <x v="355"/>
    <x v="339"/>
    <x v="464"/>
    <x v="435"/>
  </r>
  <r>
    <x v="0"/>
    <x v="507"/>
    <x v="507"/>
    <x v="0"/>
    <x v="0"/>
    <x v="7"/>
    <x v="445"/>
    <x v="332"/>
    <x v="506"/>
    <x v="401"/>
    <x v="386"/>
    <x v="507"/>
    <x v="388"/>
    <x v="0"/>
    <x v="0"/>
    <x v="355"/>
    <x v="355"/>
    <x v="354"/>
    <x v="355"/>
    <x v="0"/>
    <x v="0"/>
    <x v="0"/>
  </r>
  <r>
    <x v="0"/>
    <x v="508"/>
    <x v="508"/>
    <x v="0"/>
    <x v="0"/>
    <x v="1"/>
    <x v="447"/>
    <x v="332"/>
    <x v="507"/>
    <x v="401"/>
    <x v="386"/>
    <x v="508"/>
    <x v="388"/>
    <x v="0"/>
    <x v="0"/>
    <x v="355"/>
    <x v="355"/>
    <x v="354"/>
    <x v="355"/>
    <x v="0"/>
    <x v="0"/>
    <x v="0"/>
  </r>
  <r>
    <x v="0"/>
    <x v="509"/>
    <x v="509"/>
    <x v="0"/>
    <x v="0"/>
    <x v="7"/>
    <x v="445"/>
    <x v="332"/>
    <x v="508"/>
    <x v="401"/>
    <x v="386"/>
    <x v="509"/>
    <x v="388"/>
    <x v="0"/>
    <x v="0"/>
    <x v="355"/>
    <x v="355"/>
    <x v="354"/>
    <x v="355"/>
    <x v="0"/>
    <x v="0"/>
    <x v="0"/>
  </r>
  <r>
    <x v="0"/>
    <x v="510"/>
    <x v="510"/>
    <x v="0"/>
    <x v="0"/>
    <x v="7"/>
    <x v="427"/>
    <x v="332"/>
    <x v="509"/>
    <x v="401"/>
    <x v="386"/>
    <x v="510"/>
    <x v="388"/>
    <x v="0"/>
    <x v="0"/>
    <x v="355"/>
    <x v="355"/>
    <x v="354"/>
    <x v="355"/>
    <x v="0"/>
    <x v="0"/>
    <x v="0"/>
  </r>
  <r>
    <x v="0"/>
    <x v="511"/>
    <x v="511"/>
    <x v="0"/>
    <x v="0"/>
    <x v="7"/>
    <x v="445"/>
    <x v="332"/>
    <x v="510"/>
    <x v="401"/>
    <x v="386"/>
    <x v="511"/>
    <x v="388"/>
    <x v="0"/>
    <x v="0"/>
    <x v="355"/>
    <x v="355"/>
    <x v="354"/>
    <x v="355"/>
    <x v="0"/>
    <x v="0"/>
    <x v="0"/>
  </r>
  <r>
    <x v="0"/>
    <x v="512"/>
    <x v="512"/>
    <x v="0"/>
    <x v="0"/>
    <x v="7"/>
    <x v="420"/>
    <x v="332"/>
    <x v="511"/>
    <x v="401"/>
    <x v="386"/>
    <x v="512"/>
    <x v="388"/>
    <x v="0"/>
    <x v="0"/>
    <x v="355"/>
    <x v="355"/>
    <x v="354"/>
    <x v="355"/>
    <x v="0"/>
    <x v="0"/>
    <x v="0"/>
  </r>
  <r>
    <x v="0"/>
    <x v="513"/>
    <x v="513"/>
    <x v="0"/>
    <x v="0"/>
    <x v="4"/>
    <x v="433"/>
    <x v="332"/>
    <x v="512"/>
    <x v="401"/>
    <x v="386"/>
    <x v="513"/>
    <x v="388"/>
    <x v="0"/>
    <x v="0"/>
    <x v="355"/>
    <x v="355"/>
    <x v="354"/>
    <x v="355"/>
    <x v="0"/>
    <x v="0"/>
    <x v="0"/>
  </r>
  <r>
    <x v="0"/>
    <x v="514"/>
    <x v="514"/>
    <x v="0"/>
    <x v="0"/>
    <x v="1"/>
    <x v="383"/>
    <x v="329"/>
    <x v="513"/>
    <x v="401"/>
    <x v="397"/>
    <x v="514"/>
    <x v="465"/>
    <x v="0"/>
    <x v="0"/>
    <x v="355"/>
    <x v="355"/>
    <x v="354"/>
    <x v="355"/>
    <x v="339"/>
    <x v="465"/>
    <x v="380"/>
  </r>
  <r>
    <x v="0"/>
    <x v="515"/>
    <x v="515"/>
    <x v="0"/>
    <x v="0"/>
    <x v="1"/>
    <x v="448"/>
    <x v="332"/>
    <x v="514"/>
    <x v="401"/>
    <x v="386"/>
    <x v="515"/>
    <x v="388"/>
    <x v="0"/>
    <x v="0"/>
    <x v="355"/>
    <x v="355"/>
    <x v="354"/>
    <x v="355"/>
    <x v="0"/>
    <x v="0"/>
    <x v="0"/>
  </r>
  <r>
    <x v="0"/>
    <x v="516"/>
    <x v="516"/>
    <x v="0"/>
    <x v="0"/>
    <x v="0"/>
    <x v="445"/>
    <x v="332"/>
    <x v="515"/>
    <x v="401"/>
    <x v="386"/>
    <x v="516"/>
    <x v="388"/>
    <x v="0"/>
    <x v="0"/>
    <x v="355"/>
    <x v="355"/>
    <x v="354"/>
    <x v="355"/>
    <x v="0"/>
    <x v="0"/>
    <x v="0"/>
  </r>
  <r>
    <x v="0"/>
    <x v="517"/>
    <x v="517"/>
    <x v="0"/>
    <x v="0"/>
    <x v="1"/>
    <x v="449"/>
    <x v="329"/>
    <x v="516"/>
    <x v="401"/>
    <x v="437"/>
    <x v="517"/>
    <x v="466"/>
    <x v="0"/>
    <x v="0"/>
    <x v="355"/>
    <x v="355"/>
    <x v="354"/>
    <x v="355"/>
    <x v="339"/>
    <x v="466"/>
    <x v="436"/>
  </r>
  <r>
    <x v="0"/>
    <x v="518"/>
    <x v="518"/>
    <x v="0"/>
    <x v="0"/>
    <x v="0"/>
    <x v="445"/>
    <x v="332"/>
    <x v="517"/>
    <x v="401"/>
    <x v="386"/>
    <x v="518"/>
    <x v="388"/>
    <x v="0"/>
    <x v="0"/>
    <x v="355"/>
    <x v="355"/>
    <x v="354"/>
    <x v="355"/>
    <x v="0"/>
    <x v="0"/>
    <x v="0"/>
  </r>
  <r>
    <x v="0"/>
    <x v="519"/>
    <x v="519"/>
    <x v="0"/>
    <x v="0"/>
    <x v="7"/>
    <x v="445"/>
    <x v="332"/>
    <x v="517"/>
    <x v="401"/>
    <x v="386"/>
    <x v="518"/>
    <x v="388"/>
    <x v="0"/>
    <x v="0"/>
    <x v="355"/>
    <x v="355"/>
    <x v="354"/>
    <x v="355"/>
    <x v="0"/>
    <x v="0"/>
    <x v="0"/>
  </r>
  <r>
    <x v="0"/>
    <x v="520"/>
    <x v="520"/>
    <x v="0"/>
    <x v="0"/>
    <x v="4"/>
    <x v="445"/>
    <x v="332"/>
    <x v="518"/>
    <x v="401"/>
    <x v="386"/>
    <x v="519"/>
    <x v="388"/>
    <x v="0"/>
    <x v="0"/>
    <x v="355"/>
    <x v="355"/>
    <x v="354"/>
    <x v="355"/>
    <x v="0"/>
    <x v="0"/>
    <x v="0"/>
  </r>
  <r>
    <x v="0"/>
    <x v="521"/>
    <x v="521"/>
    <x v="0"/>
    <x v="0"/>
    <x v="1"/>
    <x v="447"/>
    <x v="332"/>
    <x v="519"/>
    <x v="401"/>
    <x v="386"/>
    <x v="520"/>
    <x v="388"/>
    <x v="0"/>
    <x v="0"/>
    <x v="355"/>
    <x v="355"/>
    <x v="354"/>
    <x v="355"/>
    <x v="339"/>
    <x v="467"/>
    <x v="437"/>
  </r>
  <r>
    <x v="0"/>
    <x v="522"/>
    <x v="522"/>
    <x v="0"/>
    <x v="0"/>
    <x v="7"/>
    <x v="445"/>
    <x v="332"/>
    <x v="520"/>
    <x v="401"/>
    <x v="386"/>
    <x v="521"/>
    <x v="388"/>
    <x v="0"/>
    <x v="0"/>
    <x v="355"/>
    <x v="355"/>
    <x v="354"/>
    <x v="355"/>
    <x v="0"/>
    <x v="0"/>
    <x v="0"/>
  </r>
  <r>
    <x v="0"/>
    <x v="523"/>
    <x v="523"/>
    <x v="0"/>
    <x v="0"/>
    <x v="7"/>
    <x v="445"/>
    <x v="329"/>
    <x v="521"/>
    <x v="401"/>
    <x v="438"/>
    <x v="522"/>
    <x v="467"/>
    <x v="0"/>
    <x v="0"/>
    <x v="355"/>
    <x v="355"/>
    <x v="354"/>
    <x v="355"/>
    <x v="339"/>
    <x v="468"/>
    <x v="438"/>
  </r>
  <r>
    <x v="0"/>
    <x v="524"/>
    <x v="524"/>
    <x v="0"/>
    <x v="0"/>
    <x v="4"/>
    <x v="445"/>
    <x v="332"/>
    <x v="522"/>
    <x v="401"/>
    <x v="386"/>
    <x v="523"/>
    <x v="388"/>
    <x v="0"/>
    <x v="0"/>
    <x v="355"/>
    <x v="355"/>
    <x v="354"/>
    <x v="355"/>
    <x v="339"/>
    <x v="469"/>
    <x v="438"/>
  </r>
  <r>
    <x v="0"/>
    <x v="525"/>
    <x v="525"/>
    <x v="0"/>
    <x v="0"/>
    <x v="0"/>
    <x v="406"/>
    <x v="332"/>
    <x v="523"/>
    <x v="401"/>
    <x v="386"/>
    <x v="524"/>
    <x v="388"/>
    <x v="0"/>
    <x v="0"/>
    <x v="355"/>
    <x v="355"/>
    <x v="354"/>
    <x v="355"/>
    <x v="0"/>
    <x v="0"/>
    <x v="0"/>
  </r>
  <r>
    <x v="0"/>
    <x v="526"/>
    <x v="526"/>
    <x v="0"/>
    <x v="0"/>
    <x v="7"/>
    <x v="445"/>
    <x v="332"/>
    <x v="524"/>
    <x v="401"/>
    <x v="386"/>
    <x v="525"/>
    <x v="388"/>
    <x v="0"/>
    <x v="0"/>
    <x v="355"/>
    <x v="355"/>
    <x v="354"/>
    <x v="355"/>
    <x v="0"/>
    <x v="0"/>
    <x v="0"/>
  </r>
  <r>
    <x v="0"/>
    <x v="527"/>
    <x v="527"/>
    <x v="0"/>
    <x v="0"/>
    <x v="4"/>
    <x v="406"/>
    <x v="332"/>
    <x v="525"/>
    <x v="401"/>
    <x v="386"/>
    <x v="526"/>
    <x v="388"/>
    <x v="0"/>
    <x v="0"/>
    <x v="355"/>
    <x v="355"/>
    <x v="354"/>
    <x v="355"/>
    <x v="0"/>
    <x v="0"/>
    <x v="0"/>
  </r>
  <r>
    <x v="0"/>
    <x v="528"/>
    <x v="528"/>
    <x v="0"/>
    <x v="0"/>
    <x v="1"/>
    <x v="450"/>
    <x v="332"/>
    <x v="526"/>
    <x v="401"/>
    <x v="386"/>
    <x v="527"/>
    <x v="388"/>
    <x v="0"/>
    <x v="0"/>
    <x v="355"/>
    <x v="355"/>
    <x v="354"/>
    <x v="355"/>
    <x v="0"/>
    <x v="0"/>
    <x v="0"/>
  </r>
  <r>
    <x v="0"/>
    <x v="529"/>
    <x v="529"/>
    <x v="0"/>
    <x v="0"/>
    <x v="7"/>
    <x v="441"/>
    <x v="332"/>
    <x v="527"/>
    <x v="401"/>
    <x v="386"/>
    <x v="528"/>
    <x v="388"/>
    <x v="0"/>
    <x v="0"/>
    <x v="355"/>
    <x v="355"/>
    <x v="354"/>
    <x v="355"/>
    <x v="0"/>
    <x v="0"/>
    <x v="0"/>
  </r>
  <r>
    <x v="0"/>
    <x v="530"/>
    <x v="530"/>
    <x v="0"/>
    <x v="0"/>
    <x v="7"/>
    <x v="445"/>
    <x v="332"/>
    <x v="528"/>
    <x v="401"/>
    <x v="386"/>
    <x v="529"/>
    <x v="388"/>
    <x v="0"/>
    <x v="0"/>
    <x v="355"/>
    <x v="355"/>
    <x v="354"/>
    <x v="355"/>
    <x v="0"/>
    <x v="0"/>
    <x v="0"/>
  </r>
  <r>
    <x v="0"/>
    <x v="531"/>
    <x v="531"/>
    <x v="0"/>
    <x v="0"/>
    <x v="7"/>
    <x v="445"/>
    <x v="332"/>
    <x v="529"/>
    <x v="401"/>
    <x v="386"/>
    <x v="530"/>
    <x v="388"/>
    <x v="0"/>
    <x v="0"/>
    <x v="355"/>
    <x v="355"/>
    <x v="354"/>
    <x v="355"/>
    <x v="0"/>
    <x v="0"/>
    <x v="0"/>
  </r>
  <r>
    <x v="0"/>
    <x v="532"/>
    <x v="532"/>
    <x v="0"/>
    <x v="0"/>
    <x v="7"/>
    <x v="445"/>
    <x v="332"/>
    <x v="530"/>
    <x v="401"/>
    <x v="386"/>
    <x v="531"/>
    <x v="388"/>
    <x v="0"/>
    <x v="0"/>
    <x v="355"/>
    <x v="355"/>
    <x v="354"/>
    <x v="355"/>
    <x v="0"/>
    <x v="0"/>
    <x v="0"/>
  </r>
  <r>
    <x v="0"/>
    <x v="533"/>
    <x v="533"/>
    <x v="0"/>
    <x v="0"/>
    <x v="1"/>
    <x v="451"/>
    <x v="329"/>
    <x v="531"/>
    <x v="401"/>
    <x v="439"/>
    <x v="532"/>
    <x v="468"/>
    <x v="0"/>
    <x v="0"/>
    <x v="355"/>
    <x v="355"/>
    <x v="354"/>
    <x v="355"/>
    <x v="0"/>
    <x v="0"/>
    <x v="0"/>
  </r>
  <r>
    <x v="0"/>
    <x v="534"/>
    <x v="534"/>
    <x v="0"/>
    <x v="0"/>
    <x v="2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35"/>
    <x v="535"/>
    <x v="0"/>
    <x v="0"/>
    <x v="1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36"/>
    <x v="536"/>
    <x v="0"/>
    <x v="0"/>
    <x v="2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37"/>
    <x v="537"/>
    <x v="0"/>
    <x v="0"/>
    <x v="4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38"/>
    <x v="538"/>
    <x v="0"/>
    <x v="0"/>
    <x v="1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39"/>
    <x v="539"/>
    <x v="0"/>
    <x v="0"/>
    <x v="2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40"/>
    <x v="540"/>
    <x v="0"/>
    <x v="0"/>
    <x v="2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41"/>
    <x v="541"/>
    <x v="0"/>
    <x v="0"/>
    <x v="1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42"/>
    <x v="542"/>
    <x v="0"/>
    <x v="0"/>
    <x v="1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43"/>
    <x v="543"/>
    <x v="0"/>
    <x v="0"/>
    <x v="2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44"/>
    <x v="544"/>
    <x v="0"/>
    <x v="0"/>
    <x v="1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45"/>
    <x v="545"/>
    <x v="0"/>
    <x v="0"/>
    <x v="2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46"/>
    <x v="546"/>
    <x v="0"/>
    <x v="0"/>
    <x v="2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47"/>
    <x v="547"/>
    <x v="0"/>
    <x v="0"/>
    <x v="1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48"/>
    <x v="548"/>
    <x v="0"/>
    <x v="0"/>
    <x v="1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49"/>
    <x v="549"/>
    <x v="0"/>
    <x v="0"/>
    <x v="2"/>
    <x v="452"/>
    <x v="332"/>
    <x v="532"/>
    <x v="401"/>
    <x v="386"/>
    <x v="533"/>
    <x v="388"/>
    <x v="0"/>
    <x v="0"/>
    <x v="355"/>
    <x v="355"/>
    <x v="354"/>
    <x v="355"/>
    <x v="0"/>
    <x v="0"/>
    <x v="0"/>
  </r>
  <r>
    <x v="0"/>
    <x v="550"/>
    <x v="550"/>
    <x v="0"/>
    <x v="0"/>
    <x v="2"/>
    <x v="452"/>
    <x v="332"/>
    <x v="532"/>
    <x v="401"/>
    <x v="386"/>
    <x v="533"/>
    <x v="388"/>
    <x v="0"/>
    <x v="0"/>
    <x v="355"/>
    <x v="355"/>
    <x v="354"/>
    <x v="355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12" firstHeaderRow="0" firstDataRow="1" firstDataCol="1"/>
  <pivotFields count="22">
    <pivotField compact="0" numFmtId="176" showAll="0">
      <items count="2">
        <item x="0"/>
        <item t="default"/>
      </items>
    </pivotField>
    <pivotField compact="0" showAll="0">
      <items count="552">
        <item x="57"/>
        <item x="361"/>
        <item x="196"/>
        <item x="183"/>
        <item x="91"/>
        <item x="58"/>
        <item x="395"/>
        <item x="315"/>
        <item x="99"/>
        <item x="306"/>
        <item x="536"/>
        <item x="482"/>
        <item x="539"/>
        <item x="434"/>
        <item x="504"/>
        <item x="407"/>
        <item x="506"/>
        <item x="103"/>
        <item x="437"/>
        <item x="112"/>
        <item x="119"/>
        <item x="442"/>
        <item x="423"/>
        <item x="397"/>
        <item x="46"/>
        <item x="416"/>
        <item x="410"/>
        <item x="76"/>
        <item x="451"/>
        <item x="435"/>
        <item x="392"/>
        <item x="372"/>
        <item x="353"/>
        <item x="398"/>
        <item x="125"/>
        <item x="28"/>
        <item x="429"/>
        <item x="430"/>
        <item x="62"/>
        <item x="341"/>
        <item x="444"/>
        <item x="296"/>
        <item x="440"/>
        <item x="89"/>
        <item x="465"/>
        <item x="460"/>
        <item x="387"/>
        <item x="102"/>
        <item x="479"/>
        <item x="413"/>
        <item x="336"/>
        <item x="326"/>
        <item x="316"/>
        <item x="446"/>
        <item x="295"/>
        <item x="414"/>
        <item x="136"/>
        <item x="219"/>
        <item x="10"/>
        <item x="51"/>
        <item x="22"/>
        <item x="250"/>
        <item x="106"/>
        <item x="541"/>
        <item x="138"/>
        <item x="194"/>
        <item x="234"/>
        <item x="251"/>
        <item x="153"/>
        <item x="100"/>
        <item x="161"/>
        <item x="209"/>
        <item x="83"/>
        <item x="285"/>
        <item x="220"/>
        <item x="172"/>
        <item x="77"/>
        <item x="84"/>
        <item x="254"/>
        <item x="320"/>
        <item x="227"/>
        <item x="239"/>
        <item x="221"/>
        <item x="110"/>
        <item x="334"/>
        <item x="173"/>
        <item x="299"/>
        <item x="226"/>
        <item x="259"/>
        <item x="73"/>
        <item x="535"/>
        <item x="126"/>
        <item x="171"/>
        <item x="202"/>
        <item x="143"/>
        <item x="273"/>
        <item x="218"/>
        <item x="248"/>
        <item x="20"/>
        <item x="266"/>
        <item x="17"/>
        <item x="14"/>
        <item x="128"/>
        <item x="82"/>
        <item x="54"/>
        <item x="74"/>
        <item x="25"/>
        <item x="265"/>
        <item x="36"/>
        <item x="151"/>
        <item x="18"/>
        <item x="69"/>
        <item x="4"/>
        <item x="8"/>
        <item x="11"/>
        <item x="147"/>
        <item x="484"/>
        <item x="53"/>
        <item x="21"/>
        <item x="33"/>
        <item x="174"/>
        <item x="101"/>
        <item x="78"/>
        <item x="44"/>
        <item x="205"/>
        <item x="197"/>
        <item x="249"/>
        <item x="2"/>
        <item x="228"/>
        <item x="141"/>
        <item x="52"/>
        <item x="241"/>
        <item x="261"/>
        <item x="31"/>
        <item x="49"/>
        <item x="109"/>
        <item x="93"/>
        <item x="96"/>
        <item x="158"/>
        <item x="104"/>
        <item x="322"/>
        <item x="279"/>
        <item x="118"/>
        <item x="311"/>
        <item x="187"/>
        <item x="211"/>
        <item x="309"/>
        <item x="60"/>
        <item x="229"/>
        <item x="203"/>
        <item x="337"/>
        <item x="252"/>
        <item x="186"/>
        <item x="40"/>
        <item x="235"/>
        <item x="97"/>
        <item x="79"/>
        <item x="90"/>
        <item x="137"/>
        <item x="157"/>
        <item x="244"/>
        <item x="243"/>
        <item x="324"/>
        <item x="463"/>
        <item x="195"/>
        <item x="131"/>
        <item x="291"/>
        <item x="116"/>
        <item x="115"/>
        <item x="75"/>
        <item x="108"/>
        <item x="199"/>
        <item x="421"/>
        <item x="420"/>
        <item x="391"/>
        <item x="156"/>
        <item x="464"/>
        <item x="381"/>
        <item x="525"/>
        <item x="443"/>
        <item x="441"/>
        <item x="529"/>
        <item x="456"/>
        <item x="393"/>
        <item x="415"/>
        <item x="511"/>
        <item x="247"/>
        <item x="448"/>
        <item x="531"/>
        <item x="298"/>
        <item x="230"/>
        <item x="189"/>
        <item x="519"/>
        <item x="43"/>
        <item x="238"/>
        <item x="177"/>
        <item x="135"/>
        <item x="494"/>
        <item x="159"/>
        <item x="454"/>
        <item x="129"/>
        <item x="490"/>
        <item x="217"/>
        <item x="6"/>
        <item x="470"/>
        <item x="182"/>
        <item x="208"/>
        <item x="268"/>
        <item x="461"/>
        <item x="42"/>
        <item x="176"/>
        <item x="179"/>
        <item x="427"/>
        <item x="363"/>
        <item x="94"/>
        <item x="144"/>
        <item x="155"/>
        <item x="428"/>
        <item x="487"/>
        <item x="175"/>
        <item x="389"/>
        <item x="496"/>
        <item x="181"/>
        <item x="190"/>
        <item x="255"/>
        <item x="264"/>
        <item x="518"/>
        <item x="274"/>
        <item x="201"/>
        <item x="184"/>
        <item x="449"/>
        <item x="313"/>
        <item x="133"/>
        <item x="236"/>
        <item x="467"/>
        <item x="502"/>
        <item x="447"/>
        <item x="162"/>
        <item x="67"/>
        <item x="355"/>
        <item x="516"/>
        <item x="41"/>
        <item x="385"/>
        <item x="472"/>
        <item x="357"/>
        <item x="382"/>
        <item x="339"/>
        <item x="462"/>
        <item x="345"/>
        <item x="1"/>
        <item x="432"/>
        <item x="342"/>
        <item x="344"/>
        <item x="396"/>
        <item x="350"/>
        <item x="405"/>
        <item x="290"/>
        <item x="352"/>
        <item x="412"/>
        <item x="366"/>
        <item x="408"/>
        <item x="379"/>
        <item x="538"/>
        <item x="374"/>
        <item x="383"/>
        <item x="386"/>
        <item x="240"/>
        <item x="364"/>
        <item x="468"/>
        <item x="287"/>
        <item x="213"/>
        <item x="340"/>
        <item x="297"/>
        <item x="246"/>
        <item x="233"/>
        <item x="216"/>
        <item x="160"/>
        <item x="270"/>
        <item x="547"/>
        <item x="166"/>
        <item x="65"/>
        <item x="242"/>
        <item x="237"/>
        <item x="148"/>
        <item x="146"/>
        <item x="214"/>
        <item x="317"/>
        <item x="72"/>
        <item x="369"/>
        <item x="281"/>
        <item x="399"/>
        <item x="32"/>
        <item x="149"/>
        <item x="327"/>
        <item x="377"/>
        <item x="207"/>
        <item x="262"/>
        <item x="165"/>
        <item x="349"/>
        <item x="122"/>
        <item x="150"/>
        <item x="257"/>
        <item x="304"/>
        <item x="7"/>
        <item x="549"/>
        <item x="542"/>
        <item x="121"/>
        <item x="533"/>
        <item x="493"/>
        <item x="3"/>
        <item x="278"/>
        <item x="515"/>
        <item x="145"/>
        <item x="528"/>
        <item x="231"/>
        <item x="501"/>
        <item x="98"/>
        <item x="476"/>
        <item x="215"/>
        <item x="517"/>
        <item x="5"/>
        <item x="267"/>
        <item x="258"/>
        <item x="488"/>
        <item x="139"/>
        <item x="286"/>
        <item x="154"/>
        <item x="489"/>
        <item x="222"/>
        <item x="368"/>
        <item x="328"/>
        <item x="356"/>
        <item x="330"/>
        <item x="343"/>
        <item x="370"/>
        <item x="347"/>
        <item x="376"/>
        <item x="338"/>
        <item x="331"/>
        <item x="292"/>
        <item x="332"/>
        <item x="384"/>
        <item x="380"/>
        <item x="335"/>
        <item x="307"/>
        <item x="314"/>
        <item x="127"/>
        <item x="56"/>
        <item x="105"/>
        <item x="200"/>
        <item x="188"/>
        <item x="485"/>
        <item x="193"/>
        <item x="117"/>
        <item x="48"/>
        <item x="288"/>
        <item x="114"/>
        <item x="212"/>
        <item x="260"/>
        <item x="30"/>
        <item x="508"/>
        <item x="38"/>
        <item x="514"/>
        <item x="495"/>
        <item x="481"/>
        <item x="486"/>
        <item x="170"/>
        <item x="521"/>
        <item x="477"/>
        <item x="26"/>
        <item x="491"/>
        <item x="134"/>
        <item x="64"/>
        <item x="107"/>
        <item x="263"/>
        <item x="85"/>
        <item x="206"/>
        <item x="123"/>
        <item x="537"/>
        <item x="406"/>
        <item x="436"/>
        <item x="411"/>
        <item x="360"/>
        <item x="459"/>
        <item x="458"/>
        <item x="354"/>
        <item x="512"/>
        <item x="390"/>
        <item x="348"/>
        <item x="424"/>
        <item x="394"/>
        <item x="378"/>
        <item x="507"/>
        <item x="455"/>
        <item x="473"/>
        <item x="509"/>
        <item x="457"/>
        <item x="513"/>
        <item x="510"/>
        <item x="438"/>
        <item x="388"/>
        <item x="409"/>
        <item x="445"/>
        <item x="478"/>
        <item x="522"/>
        <item x="417"/>
        <item x="365"/>
        <item x="497"/>
        <item x="422"/>
        <item x="499"/>
        <item x="480"/>
        <item x="431"/>
        <item x="520"/>
        <item x="530"/>
        <item x="453"/>
        <item x="402"/>
        <item x="419"/>
        <item x="426"/>
        <item x="532"/>
        <item x="404"/>
        <item x="527"/>
        <item x="474"/>
        <item x="523"/>
        <item x="469"/>
        <item x="289"/>
        <item x="450"/>
        <item x="180"/>
        <item x="439"/>
        <item x="224"/>
        <item x="163"/>
        <item x="152"/>
        <item x="452"/>
        <item x="526"/>
        <item x="223"/>
        <item x="475"/>
        <item x="524"/>
        <item x="113"/>
        <item x="403"/>
        <item x="492"/>
        <item x="140"/>
        <item x="505"/>
        <item x="192"/>
        <item x="401"/>
        <item x="471"/>
        <item x="375"/>
        <item x="359"/>
        <item x="418"/>
        <item x="351"/>
        <item x="68"/>
        <item x="367"/>
        <item x="225"/>
        <item x="362"/>
        <item x="124"/>
        <item x="29"/>
        <item x="294"/>
        <item x="12"/>
        <item x="34"/>
        <item x="284"/>
        <item x="66"/>
        <item x="23"/>
        <item x="544"/>
        <item x="550"/>
        <item x="425"/>
        <item x="300"/>
        <item x="15"/>
        <item x="47"/>
        <item x="37"/>
        <item x="540"/>
        <item x="210"/>
        <item x="95"/>
        <item x="88"/>
        <item x="19"/>
        <item x="275"/>
        <item x="35"/>
        <item x="534"/>
        <item x="303"/>
        <item x="310"/>
        <item x="400"/>
        <item x="13"/>
        <item x="71"/>
        <item x="167"/>
        <item x="0"/>
        <item x="323"/>
        <item x="24"/>
        <item x="132"/>
        <item x="59"/>
        <item x="204"/>
        <item x="256"/>
        <item x="253"/>
        <item x="191"/>
        <item x="483"/>
        <item x="63"/>
        <item x="142"/>
        <item x="498"/>
        <item x="70"/>
        <item x="277"/>
        <item x="500"/>
        <item x="280"/>
        <item x="329"/>
        <item x="503"/>
        <item x="16"/>
        <item x="319"/>
        <item x="39"/>
        <item x="50"/>
        <item x="282"/>
        <item x="466"/>
        <item x="45"/>
        <item x="272"/>
        <item x="232"/>
        <item x="27"/>
        <item x="111"/>
        <item x="318"/>
        <item x="548"/>
        <item x="271"/>
        <item x="371"/>
        <item x="373"/>
        <item x="130"/>
        <item x="61"/>
        <item x="433"/>
        <item x="164"/>
        <item x="9"/>
        <item x="358"/>
        <item x="325"/>
        <item x="87"/>
        <item x="301"/>
        <item x="92"/>
        <item x="346"/>
        <item x="321"/>
        <item x="302"/>
        <item x="185"/>
        <item x="55"/>
        <item x="245"/>
        <item x="269"/>
        <item x="168"/>
        <item x="543"/>
        <item x="305"/>
        <item x="293"/>
        <item x="120"/>
        <item x="333"/>
        <item x="169"/>
        <item x="546"/>
        <item x="178"/>
        <item x="86"/>
        <item x="80"/>
        <item x="283"/>
        <item x="276"/>
        <item x="198"/>
        <item x="545"/>
        <item x="308"/>
        <item x="81"/>
        <item x="312"/>
        <item t="default"/>
      </items>
    </pivotField>
    <pivotField compact="0" showAll="0">
      <items count="552">
        <item x="324"/>
        <item x="463"/>
        <item x="421"/>
        <item x="420"/>
        <item x="391"/>
        <item x="464"/>
        <item x="381"/>
        <item x="443"/>
        <item x="441"/>
        <item x="529"/>
        <item x="393"/>
        <item x="415"/>
        <item x="511"/>
        <item x="448"/>
        <item x="531"/>
        <item x="519"/>
        <item x="406"/>
        <item x="436"/>
        <item x="360"/>
        <item x="459"/>
        <item x="354"/>
        <item x="512"/>
        <item x="348"/>
        <item x="378"/>
        <item x="507"/>
        <item x="473"/>
        <item x="509"/>
        <item x="510"/>
        <item x="478"/>
        <item x="522"/>
        <item x="499"/>
        <item x="530"/>
        <item x="532"/>
        <item x="474"/>
        <item x="523"/>
        <item x="469"/>
        <item x="526"/>
        <item x="361"/>
        <item x="395"/>
        <item x="306"/>
        <item x="482"/>
        <item x="434"/>
        <item x="504"/>
        <item x="407"/>
        <item x="103"/>
        <item x="437"/>
        <item x="119"/>
        <item x="442"/>
        <item x="423"/>
        <item x="397"/>
        <item x="416"/>
        <item x="410"/>
        <item x="435"/>
        <item x="392"/>
        <item x="398"/>
        <item x="429"/>
        <item x="430"/>
        <item x="444"/>
        <item x="440"/>
        <item x="460"/>
        <item x="387"/>
        <item x="413"/>
        <item x="446"/>
        <item x="414"/>
        <item x="454"/>
        <item x="470"/>
        <item x="461"/>
        <item x="42"/>
        <item x="427"/>
        <item x="363"/>
        <item x="428"/>
        <item x="389"/>
        <item x="255"/>
        <item x="274"/>
        <item x="184"/>
        <item x="449"/>
        <item x="313"/>
        <item x="236"/>
        <item x="467"/>
        <item x="447"/>
        <item x="67"/>
        <item x="355"/>
        <item x="385"/>
        <item x="472"/>
        <item x="357"/>
        <item x="382"/>
        <item x="462"/>
        <item x="345"/>
        <item x="432"/>
        <item x="396"/>
        <item x="350"/>
        <item x="405"/>
        <item x="352"/>
        <item x="412"/>
        <item x="408"/>
        <item x="379"/>
        <item x="383"/>
        <item x="386"/>
        <item x="468"/>
        <item x="304"/>
        <item x="7"/>
        <item x="411"/>
        <item x="458"/>
        <item x="390"/>
        <item x="424"/>
        <item x="394"/>
        <item x="455"/>
        <item x="457"/>
        <item x="438"/>
        <item x="388"/>
        <item x="409"/>
        <item x="417"/>
        <item x="365"/>
        <item x="480"/>
        <item x="431"/>
        <item x="453"/>
        <item x="402"/>
        <item x="419"/>
        <item x="404"/>
        <item x="450"/>
        <item x="439"/>
        <item x="475"/>
        <item x="403"/>
        <item x="401"/>
        <item x="471"/>
        <item x="359"/>
        <item x="418"/>
        <item x="351"/>
        <item x="367"/>
        <item x="362"/>
        <item x="91"/>
        <item x="99"/>
        <item x="506"/>
        <item x="112"/>
        <item x="46"/>
        <item x="76"/>
        <item x="451"/>
        <item x="372"/>
        <item x="353"/>
        <item x="125"/>
        <item x="28"/>
        <item x="62"/>
        <item x="341"/>
        <item x="296"/>
        <item x="89"/>
        <item x="465"/>
        <item x="102"/>
        <item x="479"/>
        <item x="336"/>
        <item x="326"/>
        <item x="316"/>
        <item x="295"/>
        <item x="541"/>
        <item x="320"/>
        <item x="334"/>
        <item x="535"/>
        <item x="20"/>
        <item x="266"/>
        <item x="17"/>
        <item x="14"/>
        <item x="128"/>
        <item x="82"/>
        <item x="54"/>
        <item x="74"/>
        <item x="25"/>
        <item x="265"/>
        <item x="36"/>
        <item x="151"/>
        <item x="18"/>
        <item x="69"/>
        <item x="4"/>
        <item x="8"/>
        <item x="11"/>
        <item x="147"/>
        <item x="484"/>
        <item x="53"/>
        <item x="21"/>
        <item x="33"/>
        <item x="174"/>
        <item x="101"/>
        <item x="78"/>
        <item x="44"/>
        <item x="205"/>
        <item x="197"/>
        <item x="249"/>
        <item x="2"/>
        <item x="228"/>
        <item x="141"/>
        <item x="52"/>
        <item x="241"/>
        <item x="261"/>
        <item x="49"/>
        <item x="93"/>
        <item x="6"/>
        <item x="268"/>
        <item x="41"/>
        <item x="339"/>
        <item x="1"/>
        <item x="344"/>
        <item x="366"/>
        <item x="538"/>
        <item x="374"/>
        <item x="364"/>
        <item x="340"/>
        <item x="547"/>
        <item x="65"/>
        <item x="146"/>
        <item x="369"/>
        <item x="399"/>
        <item x="32"/>
        <item x="377"/>
        <item x="207"/>
        <item x="349"/>
        <item x="542"/>
        <item x="533"/>
        <item x="493"/>
        <item x="515"/>
        <item x="528"/>
        <item x="501"/>
        <item x="476"/>
        <item x="517"/>
        <item x="488"/>
        <item x="489"/>
        <item x="368"/>
        <item x="328"/>
        <item x="356"/>
        <item x="330"/>
        <item x="343"/>
        <item x="370"/>
        <item x="347"/>
        <item x="376"/>
        <item x="338"/>
        <item x="331"/>
        <item x="292"/>
        <item x="332"/>
        <item x="384"/>
        <item x="380"/>
        <item x="335"/>
        <item x="307"/>
        <item x="314"/>
        <item x="188"/>
        <item x="485"/>
        <item x="193"/>
        <item x="117"/>
        <item x="48"/>
        <item x="288"/>
        <item x="114"/>
        <item x="212"/>
        <item x="260"/>
        <item x="30"/>
        <item x="508"/>
        <item x="38"/>
        <item x="514"/>
        <item x="495"/>
        <item x="481"/>
        <item x="486"/>
        <item x="170"/>
        <item x="521"/>
        <item x="477"/>
        <item x="26"/>
        <item x="491"/>
        <item x="134"/>
        <item x="64"/>
        <item x="107"/>
        <item x="263"/>
        <item x="85"/>
        <item x="206"/>
        <item x="123"/>
        <item x="29"/>
        <item x="34"/>
        <item x="23"/>
        <item x="544"/>
        <item x="47"/>
        <item x="37"/>
        <item x="19"/>
        <item x="13"/>
        <item x="71"/>
        <item x="24"/>
        <item x="39"/>
        <item x="548"/>
        <item x="196"/>
        <item x="315"/>
        <item x="136"/>
        <item x="219"/>
        <item x="10"/>
        <item x="51"/>
        <item x="22"/>
        <item x="250"/>
        <item x="106"/>
        <item x="138"/>
        <item x="194"/>
        <item x="234"/>
        <item x="251"/>
        <item x="153"/>
        <item x="100"/>
        <item x="161"/>
        <item x="209"/>
        <item x="83"/>
        <item x="285"/>
        <item x="220"/>
        <item x="172"/>
        <item x="77"/>
        <item x="84"/>
        <item x="254"/>
        <item x="227"/>
        <item x="239"/>
        <item x="221"/>
        <item x="110"/>
        <item x="173"/>
        <item x="299"/>
        <item x="226"/>
        <item x="259"/>
        <item x="73"/>
        <item x="126"/>
        <item x="171"/>
        <item x="202"/>
        <item x="143"/>
        <item x="273"/>
        <item x="218"/>
        <item x="248"/>
        <item x="31"/>
        <item x="109"/>
        <item x="96"/>
        <item x="158"/>
        <item x="104"/>
        <item x="322"/>
        <item x="279"/>
        <item x="118"/>
        <item x="311"/>
        <item x="187"/>
        <item x="211"/>
        <item x="309"/>
        <item x="60"/>
        <item x="229"/>
        <item x="203"/>
        <item x="337"/>
        <item x="252"/>
        <item x="186"/>
        <item x="40"/>
        <item x="235"/>
        <item x="97"/>
        <item x="79"/>
        <item x="90"/>
        <item x="137"/>
        <item x="157"/>
        <item x="244"/>
        <item x="243"/>
        <item x="195"/>
        <item x="131"/>
        <item x="291"/>
        <item x="116"/>
        <item x="75"/>
        <item x="199"/>
        <item x="160"/>
        <item x="237"/>
        <item x="214"/>
        <item x="127"/>
        <item x="56"/>
        <item x="105"/>
        <item x="200"/>
        <item x="537"/>
        <item x="513"/>
        <item x="445"/>
        <item x="497"/>
        <item x="422"/>
        <item x="520"/>
        <item x="426"/>
        <item x="527"/>
        <item x="163"/>
        <item x="452"/>
        <item x="524"/>
        <item x="492"/>
        <item x="505"/>
        <item x="375"/>
        <item x="275"/>
        <item x="303"/>
        <item x="191"/>
        <item x="142"/>
        <item x="282"/>
        <item x="45"/>
        <item x="272"/>
        <item x="111"/>
        <item x="318"/>
        <item x="373"/>
        <item x="433"/>
        <item x="9"/>
        <item x="358"/>
        <item x="87"/>
        <item x="92"/>
        <item x="346"/>
        <item x="55"/>
        <item x="245"/>
        <item x="269"/>
        <item x="293"/>
        <item x="120"/>
        <item x="80"/>
        <item x="283"/>
        <item x="81"/>
        <item x="189"/>
        <item x="240"/>
        <item x="287"/>
        <item x="213"/>
        <item x="297"/>
        <item x="246"/>
        <item x="270"/>
        <item x="317"/>
        <item x="278"/>
        <item x="145"/>
        <item x="231"/>
        <item x="98"/>
        <item x="215"/>
        <item x="267"/>
        <item x="258"/>
        <item x="139"/>
        <item x="286"/>
        <item x="154"/>
        <item x="222"/>
        <item x="284"/>
        <item x="300"/>
        <item x="483"/>
        <item x="498"/>
        <item x="500"/>
        <item x="503"/>
        <item x="319"/>
        <item x="466"/>
        <item x="27"/>
        <item x="371"/>
        <item x="183"/>
        <item x="536"/>
        <item x="539"/>
        <item x="342"/>
        <item x="290"/>
        <item x="233"/>
        <item x="166"/>
        <item x="148"/>
        <item x="72"/>
        <item x="281"/>
        <item x="327"/>
        <item x="165"/>
        <item x="150"/>
        <item x="549"/>
        <item x="121"/>
        <item x="3"/>
        <item x="5"/>
        <item x="550"/>
        <item x="540"/>
        <item x="534"/>
        <item x="256"/>
        <item x="277"/>
        <item x="280"/>
        <item x="232"/>
        <item x="271"/>
        <item x="130"/>
        <item x="325"/>
        <item x="321"/>
        <item x="302"/>
        <item x="168"/>
        <item x="543"/>
        <item x="333"/>
        <item x="169"/>
        <item x="546"/>
        <item x="276"/>
        <item x="198"/>
        <item x="545"/>
        <item x="312"/>
        <item x="115"/>
        <item x="108"/>
        <item x="156"/>
        <item x="525"/>
        <item x="456"/>
        <item x="247"/>
        <item x="298"/>
        <item x="230"/>
        <item x="43"/>
        <item x="238"/>
        <item x="177"/>
        <item x="135"/>
        <item x="494"/>
        <item x="159"/>
        <item x="129"/>
        <item x="490"/>
        <item x="217"/>
        <item x="182"/>
        <item x="208"/>
        <item x="176"/>
        <item x="179"/>
        <item x="94"/>
        <item x="144"/>
        <item x="155"/>
        <item x="487"/>
        <item x="175"/>
        <item x="496"/>
        <item x="181"/>
        <item x="190"/>
        <item x="264"/>
        <item x="518"/>
        <item x="201"/>
        <item x="133"/>
        <item x="502"/>
        <item x="162"/>
        <item x="516"/>
        <item x="216"/>
        <item x="242"/>
        <item x="149"/>
        <item x="262"/>
        <item x="122"/>
        <item x="257"/>
        <item x="289"/>
        <item x="180"/>
        <item x="224"/>
        <item x="152"/>
        <item x="223"/>
        <item x="113"/>
        <item x="140"/>
        <item x="192"/>
        <item x="68"/>
        <item x="225"/>
        <item x="124"/>
        <item x="294"/>
        <item x="12"/>
        <item x="66"/>
        <item x="15"/>
        <item x="95"/>
        <item x="88"/>
        <item x="35"/>
        <item x="310"/>
        <item x="400"/>
        <item x="0"/>
        <item x="323"/>
        <item x="59"/>
        <item x="204"/>
        <item x="253"/>
        <item x="63"/>
        <item x="70"/>
        <item x="16"/>
        <item x="50"/>
        <item x="164"/>
        <item x="301"/>
        <item x="57"/>
        <item x="58"/>
        <item x="425"/>
        <item x="210"/>
        <item x="167"/>
        <item x="132"/>
        <item x="329"/>
        <item x="61"/>
        <item x="185"/>
        <item x="305"/>
        <item x="178"/>
        <item x="86"/>
        <item x="308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axis="axisRow" compact="0" multipleItemSelectionAllowed="1" showAll="0">
      <items count="9">
        <item x="7"/>
        <item x="3"/>
        <item x="1"/>
        <item x="4"/>
        <item x="5"/>
        <item x="2"/>
        <item x="0"/>
        <item x="6"/>
        <item t="default"/>
      </items>
    </pivotField>
    <pivotField dataField="1" compact="0" numFmtId="3" showAll="0">
      <items count="454">
        <item x="452"/>
        <item x="445"/>
        <item x="441"/>
        <item x="433"/>
        <item x="436"/>
        <item x="434"/>
        <item x="444"/>
        <item x="420"/>
        <item x="432"/>
        <item x="406"/>
        <item x="422"/>
        <item x="427"/>
        <item x="421"/>
        <item x="428"/>
        <item x="411"/>
        <item x="408"/>
        <item x="425"/>
        <item x="389"/>
        <item x="369"/>
        <item x="413"/>
        <item x="405"/>
        <item x="414"/>
        <item x="417"/>
        <item x="423"/>
        <item x="447"/>
        <item x="382"/>
        <item x="392"/>
        <item x="407"/>
        <item x="418"/>
        <item x="400"/>
        <item x="410"/>
        <item x="404"/>
        <item x="377"/>
        <item x="402"/>
        <item x="409"/>
        <item x="380"/>
        <item x="379"/>
        <item x="397"/>
        <item x="383"/>
        <item x="399"/>
        <item x="393"/>
        <item x="388"/>
        <item x="398"/>
        <item x="394"/>
        <item x="387"/>
        <item x="373"/>
        <item x="385"/>
        <item x="431"/>
        <item x="395"/>
        <item x="371"/>
        <item x="381"/>
        <item x="430"/>
        <item x="390"/>
        <item x="359"/>
        <item x="363"/>
        <item x="384"/>
        <item x="419"/>
        <item x="368"/>
        <item x="403"/>
        <item x="424"/>
        <item x="416"/>
        <item x="391"/>
        <item x="378"/>
        <item x="435"/>
        <item x="345"/>
        <item x="442"/>
        <item x="426"/>
        <item x="365"/>
        <item x="439"/>
        <item x="357"/>
        <item x="313"/>
        <item x="415"/>
        <item x="360"/>
        <item x="319"/>
        <item x="374"/>
        <item x="356"/>
        <item x="361"/>
        <item x="317"/>
        <item x="350"/>
        <item x="448"/>
        <item x="401"/>
        <item x="372"/>
        <item x="396"/>
        <item x="412"/>
        <item x="362"/>
        <item x="376"/>
        <item x="386"/>
        <item x="375"/>
        <item x="440"/>
        <item x="364"/>
        <item x="366"/>
        <item x="353"/>
        <item x="300"/>
        <item x="343"/>
        <item x="355"/>
        <item x="437"/>
        <item x="451"/>
        <item x="443"/>
        <item x="450"/>
        <item x="354"/>
        <item x="306"/>
        <item x="352"/>
        <item x="449"/>
        <item x="446"/>
        <item x="338"/>
        <item x="349"/>
        <item x="358"/>
        <item x="348"/>
        <item x="351"/>
        <item x="336"/>
        <item x="347"/>
        <item x="335"/>
        <item x="367"/>
        <item x="344"/>
        <item x="340"/>
        <item x="429"/>
        <item x="341"/>
        <item x="333"/>
        <item x="342"/>
        <item x="346"/>
        <item x="329"/>
        <item x="339"/>
        <item x="325"/>
        <item x="315"/>
        <item x="331"/>
        <item x="438"/>
        <item x="284"/>
        <item x="332"/>
        <item x="323"/>
        <item x="286"/>
        <item x="316"/>
        <item x="326"/>
        <item x="334"/>
        <item x="318"/>
        <item x="328"/>
        <item x="327"/>
        <item x="321"/>
        <item x="330"/>
        <item x="297"/>
        <item x="314"/>
        <item x="320"/>
        <item x="307"/>
        <item x="267"/>
        <item x="312"/>
        <item x="295"/>
        <item x="287"/>
        <item x="293"/>
        <item x="231"/>
        <item x="301"/>
        <item x="304"/>
        <item x="294"/>
        <item x="308"/>
        <item x="303"/>
        <item x="302"/>
        <item x="246"/>
        <item x="324"/>
        <item x="278"/>
        <item x="289"/>
        <item x="292"/>
        <item x="305"/>
        <item x="258"/>
        <item x="264"/>
        <item x="299"/>
        <item x="240"/>
        <item x="283"/>
        <item x="298"/>
        <item x="215"/>
        <item x="270"/>
        <item x="310"/>
        <item x="282"/>
        <item x="273"/>
        <item x="285"/>
        <item x="222"/>
        <item x="272"/>
        <item x="274"/>
        <item x="269"/>
        <item x="296"/>
        <item x="280"/>
        <item x="275"/>
        <item x="291"/>
        <item x="271"/>
        <item x="276"/>
        <item x="224"/>
        <item x="250"/>
        <item x="261"/>
        <item x="237"/>
        <item x="281"/>
        <item x="223"/>
        <item x="241"/>
        <item x="213"/>
        <item x="239"/>
        <item x="242"/>
        <item x="245"/>
        <item x="228"/>
        <item x="226"/>
        <item x="253"/>
        <item x="279"/>
        <item x="290"/>
        <item x="257"/>
        <item x="238"/>
        <item x="277"/>
        <item x="221"/>
        <item x="254"/>
        <item x="248"/>
        <item x="214"/>
        <item x="266"/>
        <item x="259"/>
        <item x="288"/>
        <item x="232"/>
        <item x="260"/>
        <item x="203"/>
        <item x="225"/>
        <item x="265"/>
        <item x="262"/>
        <item x="311"/>
        <item x="247"/>
        <item x="201"/>
        <item x="252"/>
        <item x="249"/>
        <item x="211"/>
        <item x="370"/>
        <item x="255"/>
        <item x="219"/>
        <item x="189"/>
        <item x="212"/>
        <item x="230"/>
        <item x="234"/>
        <item x="218"/>
        <item x="142"/>
        <item x="154"/>
        <item x="207"/>
        <item x="198"/>
        <item x="186"/>
        <item x="145"/>
        <item x="268"/>
        <item x="244"/>
        <item x="175"/>
        <item x="216"/>
        <item x="243"/>
        <item x="202"/>
        <item x="191"/>
        <item x="190"/>
        <item x="256"/>
        <item x="164"/>
        <item x="337"/>
        <item x="194"/>
        <item x="196"/>
        <item x="177"/>
        <item x="192"/>
        <item x="171"/>
        <item x="229"/>
        <item x="204"/>
        <item x="205"/>
        <item x="182"/>
        <item x="235"/>
        <item x="199"/>
        <item x="160"/>
        <item x="233"/>
        <item x="181"/>
        <item x="197"/>
        <item x="236"/>
        <item x="152"/>
        <item x="127"/>
        <item x="153"/>
        <item x="169"/>
        <item x="183"/>
        <item x="162"/>
        <item x="187"/>
        <item x="309"/>
        <item x="143"/>
        <item x="220"/>
        <item x="206"/>
        <item x="179"/>
        <item x="176"/>
        <item x="156"/>
        <item x="188"/>
        <item x="210"/>
        <item x="195"/>
        <item x="141"/>
        <item x="140"/>
        <item x="157"/>
        <item x="180"/>
        <item x="193"/>
        <item x="168"/>
        <item x="170"/>
        <item x="113"/>
        <item x="163"/>
        <item x="217"/>
        <item x="147"/>
        <item x="138"/>
        <item x="136"/>
        <item x="178"/>
        <item x="159"/>
        <item x="135"/>
        <item x="139"/>
        <item x="167"/>
        <item x="209"/>
        <item x="133"/>
        <item x="155"/>
        <item x="185"/>
        <item x="131"/>
        <item x="95"/>
        <item x="124"/>
        <item x="166"/>
        <item x="93"/>
        <item x="161"/>
        <item x="322"/>
        <item x="129"/>
        <item x="105"/>
        <item x="173"/>
        <item x="115"/>
        <item x="208"/>
        <item x="118"/>
        <item x="165"/>
        <item x="184"/>
        <item x="116"/>
        <item x="150"/>
        <item x="146"/>
        <item x="94"/>
        <item x="132"/>
        <item x="98"/>
        <item x="107"/>
        <item x="122"/>
        <item x="251"/>
        <item x="104"/>
        <item x="114"/>
        <item x="227"/>
        <item x="106"/>
        <item x="200"/>
        <item x="126"/>
        <item x="130"/>
        <item x="172"/>
        <item x="81"/>
        <item x="144"/>
        <item x="112"/>
        <item x="110"/>
        <item x="80"/>
        <item x="149"/>
        <item x="158"/>
        <item x="128"/>
        <item x="87"/>
        <item x="97"/>
        <item x="148"/>
        <item x="111"/>
        <item x="120"/>
        <item x="108"/>
        <item x="123"/>
        <item x="96"/>
        <item x="134"/>
        <item x="109"/>
        <item x="137"/>
        <item x="83"/>
        <item x="117"/>
        <item x="79"/>
        <item x="100"/>
        <item x="84"/>
        <item x="92"/>
        <item x="88"/>
        <item x="77"/>
        <item x="119"/>
        <item x="70"/>
        <item x="74"/>
        <item x="101"/>
        <item x="103"/>
        <item x="64"/>
        <item x="99"/>
        <item x="102"/>
        <item x="90"/>
        <item x="68"/>
        <item x="73"/>
        <item x="52"/>
        <item x="75"/>
        <item x="86"/>
        <item x="89"/>
        <item x="63"/>
        <item x="53"/>
        <item x="69"/>
        <item x="66"/>
        <item x="82"/>
        <item x="91"/>
        <item x="51"/>
        <item x="59"/>
        <item x="55"/>
        <item x="41"/>
        <item x="72"/>
        <item x="54"/>
        <item x="38"/>
        <item x="67"/>
        <item x="46"/>
        <item x="65"/>
        <item x="121"/>
        <item x="43"/>
        <item x="56"/>
        <item x="40"/>
        <item x="37"/>
        <item x="44"/>
        <item x="60"/>
        <item x="49"/>
        <item x="35"/>
        <item x="32"/>
        <item x="62"/>
        <item x="58"/>
        <item x="61"/>
        <item x="76"/>
        <item x="30"/>
        <item x="57"/>
        <item x="33"/>
        <item x="36"/>
        <item x="29"/>
        <item x="151"/>
        <item x="27"/>
        <item x="25"/>
        <item x="18"/>
        <item x="31"/>
        <item x="19"/>
        <item x="42"/>
        <item x="263"/>
        <item x="26"/>
        <item x="174"/>
        <item x="28"/>
        <item x="21"/>
        <item x="14"/>
        <item x="85"/>
        <item x="45"/>
        <item x="71"/>
        <item x="12"/>
        <item x="17"/>
        <item x="78"/>
        <item x="15"/>
        <item x="23"/>
        <item x="11"/>
        <item x="16"/>
        <item x="24"/>
        <item x="13"/>
        <item x="48"/>
        <item x="20"/>
        <item x="39"/>
        <item x="125"/>
        <item x="47"/>
        <item x="9"/>
        <item x="34"/>
        <item x="50"/>
        <item x="8"/>
        <item x="4"/>
        <item x="6"/>
        <item x="7"/>
        <item x="2"/>
        <item x="22"/>
        <item x="10"/>
        <item x="1"/>
        <item x="3"/>
        <item x="5"/>
        <item x="0"/>
        <item t="default"/>
      </items>
    </pivotField>
    <pivotField dataField="1" compact="0" numFmtId="3" showAll="0">
      <items count="336">
        <item x="332"/>
        <item x="329"/>
        <item x="328"/>
        <item x="330"/>
        <item x="322"/>
        <item x="327"/>
        <item x="320"/>
        <item x="321"/>
        <item x="325"/>
        <item x="323"/>
        <item x="316"/>
        <item x="326"/>
        <item x="324"/>
        <item x="312"/>
        <item x="333"/>
        <item x="300"/>
        <item x="319"/>
        <item x="314"/>
        <item x="334"/>
        <item x="318"/>
        <item x="315"/>
        <item x="313"/>
        <item x="293"/>
        <item x="311"/>
        <item x="295"/>
        <item x="331"/>
        <item x="308"/>
        <item x="303"/>
        <item x="290"/>
        <item x="307"/>
        <item x="301"/>
        <item x="305"/>
        <item x="294"/>
        <item x="306"/>
        <item x="302"/>
        <item x="299"/>
        <item x="317"/>
        <item x="288"/>
        <item x="284"/>
        <item x="309"/>
        <item x="292"/>
        <item x="310"/>
        <item x="296"/>
        <item x="281"/>
        <item x="282"/>
        <item x="304"/>
        <item x="189"/>
        <item x="298"/>
        <item x="289"/>
        <item x="261"/>
        <item x="291"/>
        <item x="280"/>
        <item x="285"/>
        <item x="286"/>
        <item x="268"/>
        <item x="238"/>
        <item x="269"/>
        <item x="255"/>
        <item x="230"/>
        <item x="264"/>
        <item x="258"/>
        <item x="273"/>
        <item x="283"/>
        <item x="287"/>
        <item x="272"/>
        <item x="271"/>
        <item x="226"/>
        <item x="279"/>
        <item x="231"/>
        <item x="274"/>
        <item x="275"/>
        <item x="267"/>
        <item x="163"/>
        <item x="266"/>
        <item x="278"/>
        <item x="276"/>
        <item x="246"/>
        <item x="265"/>
        <item x="157"/>
        <item x="247"/>
        <item x="297"/>
        <item x="262"/>
        <item x="227"/>
        <item x="196"/>
        <item x="235"/>
        <item x="254"/>
        <item x="259"/>
        <item x="177"/>
        <item x="234"/>
        <item x="242"/>
        <item x="228"/>
        <item x="167"/>
        <item x="207"/>
        <item x="184"/>
        <item x="243"/>
        <item x="251"/>
        <item x="164"/>
        <item x="204"/>
        <item x="208"/>
        <item x="223"/>
        <item x="215"/>
        <item x="253"/>
        <item x="168"/>
        <item x="240"/>
        <item x="212"/>
        <item x="250"/>
        <item x="174"/>
        <item x="198"/>
        <item x="161"/>
        <item x="239"/>
        <item x="232"/>
        <item x="205"/>
        <item x="225"/>
        <item x="145"/>
        <item x="248"/>
        <item x="139"/>
        <item x="201"/>
        <item x="173"/>
        <item x="244"/>
        <item x="127"/>
        <item x="209"/>
        <item x="233"/>
        <item x="257"/>
        <item x="179"/>
        <item x="197"/>
        <item x="183"/>
        <item x="180"/>
        <item x="200"/>
        <item x="236"/>
        <item x="176"/>
        <item x="216"/>
        <item x="256"/>
        <item x="249"/>
        <item x="171"/>
        <item x="199"/>
        <item x="221"/>
        <item x="146"/>
        <item x="188"/>
        <item x="172"/>
        <item x="181"/>
        <item x="214"/>
        <item x="175"/>
        <item x="245"/>
        <item x="203"/>
        <item x="222"/>
        <item x="186"/>
        <item x="194"/>
        <item x="206"/>
        <item x="185"/>
        <item x="219"/>
        <item x="217"/>
        <item x="224"/>
        <item x="166"/>
        <item x="155"/>
        <item x="193"/>
        <item x="72"/>
        <item x="140"/>
        <item x="81"/>
        <item x="195"/>
        <item x="148"/>
        <item x="210"/>
        <item x="162"/>
        <item x="85"/>
        <item x="154"/>
        <item x="170"/>
        <item x="129"/>
        <item x="218"/>
        <item x="107"/>
        <item x="202"/>
        <item x="192"/>
        <item x="92"/>
        <item x="160"/>
        <item x="84"/>
        <item x="158"/>
        <item x="263"/>
        <item x="149"/>
        <item x="277"/>
        <item x="126"/>
        <item x="190"/>
        <item x="106"/>
        <item x="165"/>
        <item x="153"/>
        <item x="220"/>
        <item x="54"/>
        <item x="74"/>
        <item x="169"/>
        <item x="103"/>
        <item x="270"/>
        <item x="260"/>
        <item x="151"/>
        <item x="95"/>
        <item x="117"/>
        <item x="142"/>
        <item x="156"/>
        <item x="131"/>
        <item x="114"/>
        <item x="150"/>
        <item x="86"/>
        <item x="191"/>
        <item x="58"/>
        <item x="96"/>
        <item x="135"/>
        <item x="136"/>
        <item x="94"/>
        <item x="138"/>
        <item x="57"/>
        <item x="141"/>
        <item x="213"/>
        <item x="104"/>
        <item x="122"/>
        <item x="128"/>
        <item x="123"/>
        <item x="115"/>
        <item x="112"/>
        <item x="93"/>
        <item x="178"/>
        <item x="125"/>
        <item x="182"/>
        <item x="159"/>
        <item x="130"/>
        <item x="56"/>
        <item x="113"/>
        <item x="134"/>
        <item x="69"/>
        <item x="36"/>
        <item x="229"/>
        <item x="137"/>
        <item x="87"/>
        <item x="119"/>
        <item x="53"/>
        <item x="108"/>
        <item x="98"/>
        <item x="61"/>
        <item x="111"/>
        <item x="132"/>
        <item x="91"/>
        <item x="147"/>
        <item x="78"/>
        <item x="133"/>
        <item x="241"/>
        <item x="59"/>
        <item x="79"/>
        <item x="70"/>
        <item x="211"/>
        <item x="77"/>
        <item x="99"/>
        <item x="187"/>
        <item x="105"/>
        <item x="109"/>
        <item x="121"/>
        <item x="237"/>
        <item x="80"/>
        <item x="66"/>
        <item x="75"/>
        <item x="52"/>
        <item x="89"/>
        <item x="100"/>
        <item x="116"/>
        <item x="144"/>
        <item x="110"/>
        <item x="252"/>
        <item x="65"/>
        <item x="18"/>
        <item x="33"/>
        <item x="64"/>
        <item x="49"/>
        <item x="124"/>
        <item x="82"/>
        <item x="83"/>
        <item x="38"/>
        <item x="63"/>
        <item x="11"/>
        <item x="68"/>
        <item x="90"/>
        <item x="21"/>
        <item x="55"/>
        <item x="101"/>
        <item x="60"/>
        <item x="152"/>
        <item x="17"/>
        <item x="73"/>
        <item x="14"/>
        <item x="43"/>
        <item x="29"/>
        <item x="41"/>
        <item x="102"/>
        <item x="88"/>
        <item x="76"/>
        <item x="40"/>
        <item x="37"/>
        <item x="118"/>
        <item x="25"/>
        <item x="35"/>
        <item x="8"/>
        <item x="46"/>
        <item x="4"/>
        <item x="24"/>
        <item x="15"/>
        <item x="143"/>
        <item x="120"/>
        <item x="23"/>
        <item x="51"/>
        <item x="32"/>
        <item x="44"/>
        <item x="19"/>
        <item x="67"/>
        <item x="27"/>
        <item x="30"/>
        <item x="97"/>
        <item x="28"/>
        <item x="6"/>
        <item x="26"/>
        <item x="62"/>
        <item x="13"/>
        <item x="71"/>
        <item x="31"/>
        <item x="20"/>
        <item x="9"/>
        <item x="34"/>
        <item x="12"/>
        <item x="39"/>
        <item x="45"/>
        <item x="42"/>
        <item x="16"/>
        <item x="7"/>
        <item x="2"/>
        <item x="47"/>
        <item x="1"/>
        <item x="50"/>
        <item x="48"/>
        <item x="22"/>
        <item x="10"/>
        <item x="3"/>
        <item x="5"/>
        <item x="0"/>
        <item t="default"/>
      </items>
    </pivotField>
    <pivotField compact="0" numFmtId="178" showAll="0">
      <items count="534"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numFmtId="4" showAll="0">
      <items count="403">
        <item x="401"/>
        <item x="400"/>
        <item x="398"/>
        <item x="399"/>
        <item x="396"/>
        <item x="397"/>
        <item x="395"/>
        <item x="393"/>
        <item x="394"/>
        <item x="391"/>
        <item x="392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4"/>
        <item x="376"/>
        <item x="375"/>
        <item x="373"/>
        <item x="372"/>
        <item x="370"/>
        <item x="371"/>
        <item x="367"/>
        <item x="369"/>
        <item x="368"/>
        <item x="366"/>
        <item x="365"/>
        <item x="364"/>
        <item x="363"/>
        <item x="361"/>
        <item x="362"/>
        <item x="360"/>
        <item x="359"/>
        <item x="358"/>
        <item x="355"/>
        <item x="357"/>
        <item x="353"/>
        <item x="356"/>
        <item x="354"/>
        <item x="352"/>
        <item x="350"/>
        <item x="351"/>
        <item x="349"/>
        <item x="348"/>
        <item x="347"/>
        <item x="346"/>
        <item x="345"/>
        <item x="344"/>
        <item x="343"/>
        <item x="341"/>
        <item x="342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1"/>
        <item x="322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10" showAll="0">
      <items count="441">
        <item x="386"/>
        <item x="430"/>
        <item x="372"/>
        <item x="437"/>
        <item x="322"/>
        <item x="263"/>
        <item x="174"/>
        <item x="439"/>
        <item x="427"/>
        <item x="368"/>
        <item x="369"/>
        <item x="337"/>
        <item x="433"/>
        <item x="377"/>
        <item x="85"/>
        <item x="389"/>
        <item x="309"/>
        <item x="398"/>
        <item x="151"/>
        <item x="343"/>
        <item x="330"/>
        <item x="191"/>
        <item x="251"/>
        <item x="72"/>
        <item x="165"/>
        <item x="78"/>
        <item x="432"/>
        <item x="82"/>
        <item x="378"/>
        <item x="360"/>
        <item x="268"/>
        <item x="324"/>
        <item x="428"/>
        <item x="311"/>
        <item x="57"/>
        <item x="86"/>
        <item x="58"/>
        <item x="125"/>
        <item x="353"/>
        <item x="308"/>
        <item x="54"/>
        <item x="4"/>
        <item x="418"/>
        <item x="341"/>
        <item x="425"/>
        <item x="326"/>
        <item x="406"/>
        <item x="159"/>
        <item x="342"/>
        <item x="8"/>
        <item x="370"/>
        <item x="420"/>
        <item x="36"/>
        <item x="348"/>
        <item x="365"/>
        <item x="200"/>
        <item x="128"/>
        <item x="11"/>
        <item x="328"/>
        <item x="357"/>
        <item x="233"/>
        <item x="358"/>
        <item x="245"/>
        <item x="376"/>
        <item x="347"/>
        <item x="227"/>
        <item x="302"/>
        <item x="6"/>
        <item x="166"/>
        <item x="334"/>
        <item x="209"/>
        <item x="331"/>
        <item x="61"/>
        <item x="148"/>
        <item x="354"/>
        <item x="21"/>
        <item x="17"/>
        <item x="413"/>
        <item x="349"/>
        <item x="332"/>
        <item x="327"/>
        <item x="356"/>
        <item x="14"/>
        <item x="1"/>
        <item x="404"/>
        <item x="24"/>
        <item x="18"/>
        <item x="56"/>
        <item x="388"/>
        <item x="290"/>
        <item x="265"/>
        <item x="217"/>
        <item x="395"/>
        <item x="345"/>
        <item x="179"/>
        <item x="15"/>
        <item x="232"/>
        <item x="74"/>
        <item x="23"/>
        <item x="392"/>
        <item x="170"/>
        <item x="173"/>
        <item x="185"/>
        <item x="229"/>
        <item x="394"/>
        <item x="380"/>
        <item x="335"/>
        <item x="277"/>
        <item x="210"/>
        <item x="147"/>
        <item x="163"/>
        <item x="241"/>
        <item x="33"/>
        <item x="397"/>
        <item x="108"/>
        <item x="172"/>
        <item x="276"/>
        <item x="336"/>
        <item x="321"/>
        <item x="352"/>
        <item x="296"/>
        <item x="69"/>
        <item x="59"/>
        <item x="206"/>
        <item x="429"/>
        <item x="169"/>
        <item x="208"/>
        <item x="130"/>
        <item x="382"/>
        <item x="178"/>
        <item x="29"/>
        <item x="25"/>
        <item x="141"/>
        <item x="333"/>
        <item x="53"/>
        <item x="366"/>
        <item x="176"/>
        <item x="198"/>
        <item x="150"/>
        <item x="9"/>
        <item x="364"/>
        <item x="387"/>
        <item x="261"/>
        <item x="338"/>
        <item x="34"/>
        <item x="405"/>
        <item x="13"/>
        <item x="279"/>
        <item x="49"/>
        <item x="339"/>
        <item x="291"/>
        <item x="403"/>
        <item x="96"/>
        <item x="305"/>
        <item x="252"/>
        <item x="228"/>
        <item x="281"/>
        <item x="320"/>
        <item x="7"/>
        <item x="20"/>
        <item x="367"/>
        <item x="2"/>
        <item x="3"/>
        <item x="66"/>
        <item x="417"/>
        <item x="5"/>
        <item x="312"/>
        <item x="19"/>
        <item x="414"/>
        <item x="329"/>
        <item x="28"/>
        <item x="65"/>
        <item x="314"/>
        <item x="402"/>
        <item x="137"/>
        <item x="271"/>
        <item x="60"/>
        <item x="256"/>
        <item x="107"/>
        <item x="307"/>
        <item x="373"/>
        <item x="350"/>
        <item x="158"/>
        <item x="292"/>
        <item x="26"/>
        <item x="144"/>
        <item x="104"/>
        <item x="410"/>
        <item x="186"/>
        <item x="316"/>
        <item x="374"/>
        <item x="181"/>
        <item x="132"/>
        <item x="76"/>
        <item x="75"/>
        <item x="71"/>
        <item x="304"/>
        <item x="99"/>
        <item x="230"/>
        <item x="27"/>
        <item x="87"/>
        <item x="93"/>
        <item x="355"/>
        <item x="39"/>
        <item x="168"/>
        <item x="235"/>
        <item x="38"/>
        <item x="393"/>
        <item x="97"/>
        <item x="199"/>
        <item x="325"/>
        <item x="247"/>
        <item x="244"/>
        <item x="52"/>
        <item x="188"/>
        <item x="157"/>
        <item x="43"/>
        <item x="35"/>
        <item x="183"/>
        <item x="37"/>
        <item x="182"/>
        <item x="390"/>
        <item x="260"/>
        <item x="55"/>
        <item x="243"/>
        <item x="40"/>
        <item x="123"/>
        <item x="195"/>
        <item x="280"/>
        <item x="295"/>
        <item x="70"/>
        <item x="88"/>
        <item x="400"/>
        <item x="238"/>
        <item x="363"/>
        <item x="41"/>
        <item x="155"/>
        <item x="298"/>
        <item x="167"/>
        <item x="90"/>
        <item x="175"/>
        <item x="118"/>
        <item x="266"/>
        <item x="91"/>
        <item x="187"/>
        <item x="16"/>
        <item x="207"/>
        <item x="236"/>
        <item x="92"/>
        <item x="30"/>
        <item x="318"/>
        <item x="12"/>
        <item x="234"/>
        <item x="63"/>
        <item x="22"/>
        <item x="31"/>
        <item x="115"/>
        <item x="381"/>
        <item x="202"/>
        <item x="255"/>
        <item x="225"/>
        <item x="156"/>
        <item x="101"/>
        <item x="275"/>
        <item x="421"/>
        <item x="46"/>
        <item x="45"/>
        <item x="383"/>
        <item x="109"/>
        <item x="32"/>
        <item x="391"/>
        <item x="79"/>
        <item x="205"/>
        <item x="415"/>
        <item x="0"/>
        <item x="340"/>
        <item x="190"/>
        <item x="134"/>
        <item x="126"/>
        <item x="351"/>
        <item x="133"/>
        <item x="100"/>
        <item x="121"/>
        <item x="120"/>
        <item x="249"/>
        <item x="293"/>
        <item x="177"/>
        <item x="248"/>
        <item x="371"/>
        <item x="197"/>
        <item x="10"/>
        <item x="211"/>
        <item x="44"/>
        <item x="259"/>
        <item x="218"/>
        <item x="396"/>
        <item x="89"/>
        <item x="220"/>
        <item x="303"/>
        <item x="435"/>
        <item x="288"/>
        <item x="196"/>
        <item x="112"/>
        <item x="114"/>
        <item x="94"/>
        <item x="216"/>
        <item x="237"/>
        <item x="412"/>
        <item x="42"/>
        <item x="64"/>
        <item x="95"/>
        <item x="149"/>
        <item x="257"/>
        <item x="214"/>
        <item x="416"/>
        <item x="162"/>
        <item x="344"/>
        <item x="105"/>
        <item x="203"/>
        <item x="116"/>
        <item x="80"/>
        <item x="274"/>
        <item x="117"/>
        <item x="68"/>
        <item x="129"/>
        <item x="301"/>
        <item x="50"/>
        <item x="62"/>
        <item x="51"/>
        <item x="411"/>
        <item x="262"/>
        <item x="184"/>
        <item x="102"/>
        <item x="73"/>
        <item x="67"/>
        <item x="242"/>
        <item x="422"/>
        <item x="47"/>
        <item x="201"/>
        <item x="124"/>
        <item x="110"/>
        <item x="269"/>
        <item x="164"/>
        <item x="138"/>
        <item x="160"/>
        <item x="272"/>
        <item x="127"/>
        <item x="161"/>
        <item x="81"/>
        <item x="106"/>
        <item x="193"/>
        <item x="359"/>
        <item x="204"/>
        <item x="299"/>
        <item x="253"/>
        <item x="401"/>
        <item x="131"/>
        <item x="142"/>
        <item x="219"/>
        <item x="285"/>
        <item x="122"/>
        <item x="103"/>
        <item x="283"/>
        <item x="194"/>
        <item x="315"/>
        <item x="153"/>
        <item x="306"/>
        <item x="84"/>
        <item x="362"/>
        <item x="212"/>
        <item x="399"/>
        <item x="254"/>
        <item x="83"/>
        <item x="140"/>
        <item x="139"/>
        <item x="111"/>
        <item x="423"/>
        <item x="192"/>
        <item x="113"/>
        <item x="289"/>
        <item x="119"/>
        <item x="310"/>
        <item x="77"/>
        <item x="136"/>
        <item x="171"/>
        <item x="239"/>
        <item x="426"/>
        <item x="152"/>
        <item x="273"/>
        <item x="180"/>
        <item x="135"/>
        <item x="143"/>
        <item x="361"/>
        <item x="294"/>
        <item x="221"/>
        <item x="223"/>
        <item x="48"/>
        <item x="146"/>
        <item x="385"/>
        <item x="282"/>
        <item x="323"/>
        <item x="226"/>
        <item x="250"/>
        <item x="408"/>
        <item x="224"/>
        <item x="346"/>
        <item x="384"/>
        <item x="379"/>
        <item x="297"/>
        <item x="264"/>
        <item x="313"/>
        <item x="287"/>
        <item x="98"/>
        <item x="189"/>
        <item x="222"/>
        <item x="270"/>
        <item x="436"/>
        <item x="284"/>
        <item x="213"/>
        <item x="154"/>
        <item x="300"/>
        <item x="419"/>
        <item x="431"/>
        <item x="145"/>
        <item x="319"/>
        <item x="278"/>
        <item x="407"/>
        <item x="215"/>
        <item x="409"/>
        <item x="434"/>
        <item x="375"/>
        <item x="424"/>
        <item x="267"/>
        <item x="317"/>
        <item x="240"/>
        <item x="246"/>
        <item x="231"/>
        <item x="258"/>
        <item x="286"/>
        <item x="438"/>
        <item t="default"/>
      </items>
    </pivotField>
    <pivotField compact="0" numFmtId="2" showAll="0">
      <items count="535">
        <item x="533"/>
        <item x="532"/>
        <item x="527"/>
        <item x="517"/>
        <item x="506"/>
        <item x="515"/>
        <item x="489"/>
        <item x="501"/>
        <item x="372"/>
        <item x="488"/>
        <item x="493"/>
        <item x="476"/>
        <item x="520"/>
        <item x="514"/>
        <item x="526"/>
        <item x="495"/>
        <item x="524"/>
        <item x="531"/>
        <item x="491"/>
        <item x="337"/>
        <item x="508"/>
        <item x="485"/>
        <item x="322"/>
        <item x="530"/>
        <item x="263"/>
        <item x="510"/>
        <item x="528"/>
        <item x="499"/>
        <item x="478"/>
        <item x="477"/>
        <item x="486"/>
        <item x="481"/>
        <item x="464"/>
        <item x="529"/>
        <item x="436"/>
        <item x="512"/>
        <item x="473"/>
        <item x="441"/>
        <item x="309"/>
        <item x="502"/>
        <item x="174"/>
        <item x="459"/>
        <item x="415"/>
        <item x="406"/>
        <item x="497"/>
        <item x="391"/>
        <item x="420"/>
        <item x="369"/>
        <item x="125"/>
        <item x="311"/>
        <item x="443"/>
        <item x="504"/>
        <item x="525"/>
        <item x="448"/>
        <item x="523"/>
        <item x="513"/>
        <item x="151"/>
        <item x="377"/>
        <item x="378"/>
        <item x="522"/>
        <item x="480"/>
        <item x="421"/>
        <item x="360"/>
        <item x="474"/>
        <item x="5"/>
        <item x="521"/>
        <item x="368"/>
        <item x="469"/>
        <item x="399"/>
        <item x="3"/>
        <item x="380"/>
        <item x="22"/>
        <item x="471"/>
        <item x="374"/>
        <item x="500"/>
        <item x="463"/>
        <item x="78"/>
        <item x="85"/>
        <item x="519"/>
        <item x="460"/>
        <item x="376"/>
        <item x="355"/>
        <item x="347"/>
        <item x="366"/>
        <item x="450"/>
        <item x="475"/>
        <item x="251"/>
        <item x="324"/>
        <item x="0"/>
        <item x="10"/>
        <item x="357"/>
        <item x="518"/>
        <item x="435"/>
        <item x="356"/>
        <item x="470"/>
        <item x="50"/>
        <item x="468"/>
        <item x="71"/>
        <item x="503"/>
        <item x="397"/>
        <item x="467"/>
        <item x="440"/>
        <item x="403"/>
        <item x="352"/>
        <item x="389"/>
        <item x="453"/>
        <item x="458"/>
        <item x="442"/>
        <item x="451"/>
        <item x="227"/>
        <item x="419"/>
        <item x="446"/>
        <item x="482"/>
        <item x="457"/>
        <item x="426"/>
        <item x="381"/>
        <item x="429"/>
        <item x="424"/>
        <item x="447"/>
        <item x="430"/>
        <item x="334"/>
        <item x="364"/>
        <item x="330"/>
        <item x="121"/>
        <item x="437"/>
        <item x="516"/>
        <item x="348"/>
        <item x="409"/>
        <item x="445"/>
        <item x="353"/>
        <item x="432"/>
        <item x="310"/>
        <item x="479"/>
        <item x="402"/>
        <item x="349"/>
        <item x="461"/>
        <item x="431"/>
        <item x="47"/>
        <item x="492"/>
        <item x="410"/>
        <item x="472"/>
        <item x="444"/>
        <item x="343"/>
        <item x="288"/>
        <item x="200"/>
        <item x="401"/>
        <item x="390"/>
        <item x="350"/>
        <item x="48"/>
        <item x="449"/>
        <item x="427"/>
        <item x="339"/>
        <item x="405"/>
        <item x="404"/>
        <item x="392"/>
        <item x="345"/>
        <item x="395"/>
        <item x="496"/>
        <item x="418"/>
        <item x="328"/>
        <item x="342"/>
        <item x="416"/>
        <item x="384"/>
        <item x="408"/>
        <item x="413"/>
        <item x="290"/>
        <item x="465"/>
        <item x="422"/>
        <item x="39"/>
        <item x="327"/>
        <item x="208"/>
        <item x="34"/>
        <item x="332"/>
        <item x="407"/>
        <item x="76"/>
        <item x="363"/>
        <item x="296"/>
        <item x="511"/>
        <item x="439"/>
        <item x="354"/>
        <item x="412"/>
        <item x="487"/>
        <item x="268"/>
        <item x="394"/>
        <item x="172"/>
        <item x="209"/>
        <item x="466"/>
        <item x="45"/>
        <item x="341"/>
        <item x="438"/>
        <item x="484"/>
        <item x="388"/>
        <item x="331"/>
        <item x="367"/>
        <item x="387"/>
        <item x="326"/>
        <item x="184"/>
        <item x="509"/>
        <item x="411"/>
        <item x="417"/>
        <item x="217"/>
        <item x="393"/>
        <item x="362"/>
        <item x="291"/>
        <item x="358"/>
        <item x="433"/>
        <item x="462"/>
        <item x="277"/>
        <item x="414"/>
        <item x="158"/>
        <item x="279"/>
        <item x="498"/>
        <item x="490"/>
        <item x="185"/>
        <item x="305"/>
        <item x="91"/>
        <item x="61"/>
        <item x="455"/>
        <item x="42"/>
        <item x="507"/>
        <item x="256"/>
        <item x="236"/>
        <item x="173"/>
        <item x="119"/>
        <item x="454"/>
        <item x="62"/>
        <item x="57"/>
        <item x="233"/>
        <item x="58"/>
        <item x="400"/>
        <item x="423"/>
        <item x="370"/>
        <item x="308"/>
        <item x="148"/>
        <item x="72"/>
        <item x="149"/>
        <item x="321"/>
        <item x="320"/>
        <item x="281"/>
        <item x="312"/>
        <item x="333"/>
        <item x="298"/>
        <item x="265"/>
        <item x="82"/>
        <item x="210"/>
        <item x="137"/>
        <item x="235"/>
        <item x="386"/>
        <item x="220"/>
        <item x="398"/>
        <item x="89"/>
        <item x="165"/>
        <item x="262"/>
        <item x="373"/>
        <item x="60"/>
        <item x="428"/>
        <item x="134"/>
        <item x="494"/>
        <item x="193"/>
        <item x="178"/>
        <item x="505"/>
        <item x="382"/>
        <item x="456"/>
        <item x="329"/>
        <item x="359"/>
        <item x="86"/>
        <item x="229"/>
        <item x="65"/>
        <item x="67"/>
        <item x="276"/>
        <item x="195"/>
        <item x="144"/>
        <item x="299"/>
        <item x="375"/>
        <item x="102"/>
        <item x="166"/>
        <item x="336"/>
        <item x="383"/>
        <item x="434"/>
        <item x="266"/>
        <item x="243"/>
        <item x="7"/>
        <item x="20"/>
        <item x="167"/>
        <item x="335"/>
        <item x="24"/>
        <item x="103"/>
        <item x="206"/>
        <item x="161"/>
        <item x="244"/>
        <item x="117"/>
        <item x="99"/>
        <item x="255"/>
        <item x="351"/>
        <item x="123"/>
        <item x="344"/>
        <item x="303"/>
        <item x="260"/>
        <item x="180"/>
        <item x="150"/>
        <item x="340"/>
        <item x="101"/>
        <item x="338"/>
        <item x="6"/>
        <item x="302"/>
        <item x="128"/>
        <item x="188"/>
        <item x="146"/>
        <item x="1"/>
        <item x="16"/>
        <item x="23"/>
        <item x="130"/>
        <item x="120"/>
        <item x="90"/>
        <item x="365"/>
        <item x="28"/>
        <item x="75"/>
        <item x="8"/>
        <item x="69"/>
        <item x="259"/>
        <item x="304"/>
        <item x="280"/>
        <item x="155"/>
        <item x="66"/>
        <item x="323"/>
        <item x="9"/>
        <item x="13"/>
        <item x="249"/>
        <item x="59"/>
        <item x="252"/>
        <item x="56"/>
        <item x="159"/>
        <item x="197"/>
        <item x="170"/>
        <item x="285"/>
        <item x="275"/>
        <item x="49"/>
        <item x="234"/>
        <item x="126"/>
        <item x="483"/>
        <item x="314"/>
        <item x="187"/>
        <item x="247"/>
        <item x="179"/>
        <item x="176"/>
        <item x="109"/>
        <item x="379"/>
        <item x="205"/>
        <item x="168"/>
        <item x="230"/>
        <item x="36"/>
        <item x="199"/>
        <item x="15"/>
        <item x="31"/>
        <item x="132"/>
        <item x="111"/>
        <item x="4"/>
        <item x="21"/>
        <item x="17"/>
        <item x="204"/>
        <item x="112"/>
        <item x="271"/>
        <item x="11"/>
        <item x="122"/>
        <item x="385"/>
        <item x="108"/>
        <item x="163"/>
        <item x="2"/>
        <item x="54"/>
        <item x="183"/>
        <item x="216"/>
        <item x="63"/>
        <item x="73"/>
        <item x="100"/>
        <item x="257"/>
        <item x="55"/>
        <item x="318"/>
        <item x="292"/>
        <item x="181"/>
        <item x="26"/>
        <item x="254"/>
        <item x="110"/>
        <item x="44"/>
        <item x="301"/>
        <item x="114"/>
        <item x="396"/>
        <item x="12"/>
        <item x="218"/>
        <item x="92"/>
        <item x="361"/>
        <item x="14"/>
        <item x="192"/>
        <item x="274"/>
        <item x="261"/>
        <item x="196"/>
        <item x="194"/>
        <item x="129"/>
        <item x="88"/>
        <item x="202"/>
        <item x="51"/>
        <item x="282"/>
        <item x="325"/>
        <item x="248"/>
        <item x="225"/>
        <item x="68"/>
        <item x="74"/>
        <item x="157"/>
        <item x="182"/>
        <item x="19"/>
        <item x="207"/>
        <item x="316"/>
        <item x="118"/>
        <item x="219"/>
        <item x="96"/>
        <item x="139"/>
        <item x="29"/>
        <item x="147"/>
        <item x="46"/>
        <item x="43"/>
        <item x="106"/>
        <item x="212"/>
        <item x="232"/>
        <item x="33"/>
        <item x="272"/>
        <item x="307"/>
        <item x="25"/>
        <item x="131"/>
        <item x="133"/>
        <item x="116"/>
        <item x="190"/>
        <item x="191"/>
        <item x="169"/>
        <item x="253"/>
        <item x="84"/>
        <item x="70"/>
        <item x="77"/>
        <item x="40"/>
        <item x="269"/>
        <item x="27"/>
        <item x="104"/>
        <item x="107"/>
        <item x="18"/>
        <item x="135"/>
        <item x="124"/>
        <item x="198"/>
        <item x="115"/>
        <item x="37"/>
        <item x="294"/>
        <item x="53"/>
        <item x="97"/>
        <item x="156"/>
        <item x="211"/>
        <item x="177"/>
        <item x="289"/>
        <item x="162"/>
        <item x="30"/>
        <item x="83"/>
        <item x="283"/>
        <item x="35"/>
        <item x="238"/>
        <item x="136"/>
        <item x="138"/>
        <item x="79"/>
        <item x="64"/>
        <item x="41"/>
        <item x="273"/>
        <item x="452"/>
        <item x="245"/>
        <item x="186"/>
        <item x="38"/>
        <item x="242"/>
        <item x="32"/>
        <item x="87"/>
        <item x="171"/>
        <item x="201"/>
        <item x="175"/>
        <item x="295"/>
        <item x="239"/>
        <item x="52"/>
        <item x="189"/>
        <item x="98"/>
        <item x="141"/>
        <item x="250"/>
        <item x="160"/>
        <item x="140"/>
        <item x="293"/>
        <item x="241"/>
        <item x="425"/>
        <item x="105"/>
        <item x="153"/>
        <item x="152"/>
        <item x="228"/>
        <item x="226"/>
        <item x="221"/>
        <item x="214"/>
        <item x="80"/>
        <item x="203"/>
        <item x="237"/>
        <item x="81"/>
        <item x="94"/>
        <item x="270"/>
        <item x="315"/>
        <item x="164"/>
        <item x="143"/>
        <item x="113"/>
        <item x="278"/>
        <item x="223"/>
        <item x="224"/>
        <item x="93"/>
        <item x="346"/>
        <item x="213"/>
        <item x="95"/>
        <item x="287"/>
        <item x="297"/>
        <item x="127"/>
        <item x="154"/>
        <item x="145"/>
        <item x="371"/>
        <item x="264"/>
        <item x="142"/>
        <item x="222"/>
        <item x="258"/>
        <item x="240"/>
        <item x="267"/>
        <item x="215"/>
        <item x="246"/>
        <item x="286"/>
        <item x="284"/>
        <item x="231"/>
        <item x="306"/>
        <item x="317"/>
        <item x="319"/>
        <item x="300"/>
        <item x="313"/>
        <item t="default"/>
      </items>
    </pivotField>
    <pivotField compact="0" numFmtId="2" showAll="0">
      <items count="470">
        <item x="388"/>
        <item x="468"/>
        <item x="467"/>
        <item x="466"/>
        <item x="465"/>
        <item x="419"/>
        <item x="464"/>
        <item x="463"/>
        <item x="462"/>
        <item x="417"/>
        <item x="434"/>
        <item x="461"/>
        <item x="440"/>
        <item x="460"/>
        <item x="375"/>
        <item x="459"/>
        <item x="372"/>
        <item x="458"/>
        <item x="457"/>
        <item x="456"/>
        <item x="453"/>
        <item x="455"/>
        <item x="454"/>
        <item x="258"/>
        <item x="286"/>
        <item x="427"/>
        <item x="278"/>
        <item x="452"/>
        <item x="240"/>
        <item x="451"/>
        <item x="438"/>
        <item x="246"/>
        <item x="48"/>
        <item x="310"/>
        <item x="337"/>
        <item x="450"/>
        <item x="50"/>
        <item x="22"/>
        <item x="449"/>
        <item x="267"/>
        <item x="411"/>
        <item x="448"/>
        <item x="430"/>
        <item x="145"/>
        <item x="10"/>
        <item x="231"/>
        <item x="0"/>
        <item x="387"/>
        <item x="406"/>
        <item x="404"/>
        <item x="447"/>
        <item x="213"/>
        <item x="270"/>
        <item x="422"/>
        <item x="400"/>
        <item x="446"/>
        <item x="47"/>
        <item x="154"/>
        <item x="445"/>
        <item x="5"/>
        <item x="374"/>
        <item x="121"/>
        <item x="189"/>
        <item x="381"/>
        <item x="3"/>
        <item x="444"/>
        <item x="415"/>
        <item x="355"/>
        <item x="288"/>
        <item x="443"/>
        <item x="362"/>
        <item x="442"/>
        <item x="98"/>
        <item x="119"/>
        <item x="379"/>
        <item x="215"/>
        <item x="441"/>
        <item x="439"/>
        <item x="71"/>
        <item x="405"/>
        <item x="385"/>
        <item x="402"/>
        <item x="146"/>
        <item x="323"/>
        <item x="437"/>
        <item x="184"/>
        <item x="384"/>
        <item x="436"/>
        <item x="180"/>
        <item x="435"/>
        <item x="433"/>
        <item x="432"/>
        <item x="322"/>
        <item x="366"/>
        <item x="125"/>
        <item x="380"/>
        <item x="431"/>
        <item x="317"/>
        <item x="222"/>
        <item x="394"/>
        <item x="392"/>
        <item x="311"/>
        <item x="193"/>
        <item x="359"/>
        <item x="429"/>
        <item x="428"/>
        <item x="62"/>
        <item x="299"/>
        <item x="103"/>
        <item x="45"/>
        <item x="426"/>
        <item x="425"/>
        <item x="389"/>
        <item x="363"/>
        <item x="424"/>
        <item x="42"/>
        <item x="282"/>
        <item x="423"/>
        <item x="262"/>
        <item x="149"/>
        <item x="161"/>
        <item x="361"/>
        <item x="421"/>
        <item x="420"/>
        <item x="350"/>
        <item x="67"/>
        <item x="111"/>
        <item x="364"/>
        <item x="102"/>
        <item x="352"/>
        <item x="39"/>
        <item x="220"/>
        <item x="285"/>
        <item x="263"/>
        <item x="287"/>
        <item x="89"/>
        <item x="418"/>
        <item x="250"/>
        <item x="76"/>
        <item x="294"/>
        <item x="117"/>
        <item x="254"/>
        <item x="135"/>
        <item x="192"/>
        <item x="122"/>
        <item x="344"/>
        <item x="204"/>
        <item x="226"/>
        <item x="91"/>
        <item x="134"/>
        <item x="236"/>
        <item x="339"/>
        <item x="416"/>
        <item x="77"/>
        <item x="414"/>
        <item x="139"/>
        <item x="303"/>
        <item x="413"/>
        <item x="194"/>
        <item x="412"/>
        <item x="289"/>
        <item x="273"/>
        <item x="309"/>
        <item x="212"/>
        <item x="224"/>
        <item x="136"/>
        <item x="298"/>
        <item x="351"/>
        <item x="84"/>
        <item x="221"/>
        <item x="378"/>
        <item x="410"/>
        <item x="356"/>
        <item x="346"/>
        <item x="297"/>
        <item x="219"/>
        <item x="409"/>
        <item x="34"/>
        <item x="83"/>
        <item x="259"/>
        <item x="120"/>
        <item x="284"/>
        <item x="73"/>
        <item x="110"/>
        <item x="171"/>
        <item x="340"/>
        <item x="131"/>
        <item x="408"/>
        <item x="239"/>
        <item x="407"/>
        <item x="253"/>
        <item x="152"/>
        <item x="106"/>
        <item x="255"/>
        <item x="249"/>
        <item x="197"/>
        <item x="403"/>
        <item x="376"/>
        <item x="401"/>
        <item x="272"/>
        <item x="158"/>
        <item x="143"/>
        <item x="101"/>
        <item x="301"/>
        <item x="347"/>
        <item x="266"/>
        <item x="112"/>
        <item x="283"/>
        <item x="208"/>
        <item x="257"/>
        <item x="367"/>
        <item x="216"/>
        <item x="399"/>
        <item x="167"/>
        <item x="398"/>
        <item x="223"/>
        <item x="397"/>
        <item x="126"/>
        <item x="195"/>
        <item x="51"/>
        <item x="140"/>
        <item x="396"/>
        <item x="129"/>
        <item x="360"/>
        <item x="274"/>
        <item x="235"/>
        <item x="264"/>
        <item x="243"/>
        <item x="68"/>
        <item x="256"/>
        <item x="269"/>
        <item x="16"/>
        <item x="205"/>
        <item x="296"/>
        <item x="153"/>
        <item x="275"/>
        <item x="114"/>
        <item x="109"/>
        <item x="357"/>
        <item x="124"/>
        <item x="319"/>
        <item x="395"/>
        <item x="123"/>
        <item x="291"/>
        <item x="90"/>
        <item x="44"/>
        <item x="100"/>
        <item x="234"/>
        <item x="138"/>
        <item x="196"/>
        <item x="116"/>
        <item x="260"/>
        <item x="345"/>
        <item x="244"/>
        <item x="218"/>
        <item x="334"/>
        <item x="137"/>
        <item x="155"/>
        <item x="31"/>
        <item x="227"/>
        <item x="305"/>
        <item x="113"/>
        <item x="373"/>
        <item x="279"/>
        <item x="393"/>
        <item x="187"/>
        <item x="315"/>
        <item x="280"/>
        <item x="172"/>
        <item x="60"/>
        <item x="312"/>
        <item x="349"/>
        <item x="188"/>
        <item x="391"/>
        <item x="248"/>
        <item x="144"/>
        <item x="242"/>
        <item x="160"/>
        <item x="162"/>
        <item x="390"/>
        <item x="63"/>
        <item x="320"/>
        <item x="281"/>
        <item x="201"/>
        <item x="99"/>
        <item x="65"/>
        <item x="318"/>
        <item x="81"/>
        <item x="329"/>
        <item x="133"/>
        <item x="64"/>
        <item x="190"/>
        <item x="290"/>
        <item x="151"/>
        <item x="12"/>
        <item x="211"/>
        <item x="202"/>
        <item x="92"/>
        <item x="225"/>
        <item x="177"/>
        <item x="75"/>
        <item x="46"/>
        <item x="247"/>
        <item x="304"/>
        <item x="164"/>
        <item x="369"/>
        <item x="105"/>
        <item x="199"/>
        <item x="183"/>
        <item x="327"/>
        <item x="348"/>
        <item x="333"/>
        <item x="55"/>
        <item x="7"/>
        <item x="386"/>
        <item x="20"/>
        <item x="168"/>
        <item x="207"/>
        <item x="277"/>
        <item x="80"/>
        <item x="324"/>
        <item x="203"/>
        <item x="78"/>
        <item x="332"/>
        <item x="214"/>
        <item x="230"/>
        <item x="118"/>
        <item x="88"/>
        <item x="156"/>
        <item x="115"/>
        <item x="79"/>
        <item x="28"/>
        <item x="174"/>
        <item x="132"/>
        <item x="321"/>
        <item x="237"/>
        <item x="217"/>
        <item x="185"/>
        <item x="293"/>
        <item x="94"/>
        <item x="30"/>
        <item x="178"/>
        <item x="383"/>
        <item x="32"/>
        <item x="314"/>
        <item x="182"/>
        <item x="382"/>
        <item x="200"/>
        <item x="66"/>
        <item x="70"/>
        <item x="354"/>
        <item x="338"/>
        <item x="157"/>
        <item x="173"/>
        <item x="271"/>
        <item x="210"/>
        <item x="325"/>
        <item x="181"/>
        <item x="40"/>
        <item x="43"/>
        <item x="252"/>
        <item x="127"/>
        <item x="328"/>
        <item x="292"/>
        <item x="150"/>
        <item x="353"/>
        <item x="26"/>
        <item x="300"/>
        <item x="238"/>
        <item x="41"/>
        <item x="37"/>
        <item x="206"/>
        <item x="276"/>
        <item x="336"/>
        <item x="13"/>
        <item x="209"/>
        <item x="251"/>
        <item x="49"/>
        <item x="9"/>
        <item x="316"/>
        <item x="2"/>
        <item x="95"/>
        <item x="175"/>
        <item x="331"/>
        <item x="35"/>
        <item x="97"/>
        <item x="130"/>
        <item x="229"/>
        <item x="342"/>
        <item x="27"/>
        <item x="335"/>
        <item x="265"/>
        <item x="295"/>
        <item x="176"/>
        <item x="307"/>
        <item x="142"/>
        <item x="104"/>
        <item x="69"/>
        <item x="377"/>
        <item x="59"/>
        <item x="19"/>
        <item x="107"/>
        <item x="38"/>
        <item x="52"/>
        <item x="61"/>
        <item x="186"/>
        <item x="87"/>
        <item x="358"/>
        <item x="96"/>
        <item x="261"/>
        <item x="23"/>
        <item x="148"/>
        <item x="108"/>
        <item x="170"/>
        <item x="163"/>
        <item x="24"/>
        <item x="341"/>
        <item x="326"/>
        <item x="371"/>
        <item x="330"/>
        <item x="29"/>
        <item x="179"/>
        <item x="198"/>
        <item x="233"/>
        <item x="25"/>
        <item x="15"/>
        <item x="1"/>
        <item x="53"/>
        <item x="166"/>
        <item x="169"/>
        <item x="56"/>
        <item x="268"/>
        <item x="228"/>
        <item x="33"/>
        <item x="370"/>
        <item x="147"/>
        <item x="93"/>
        <item x="368"/>
        <item x="6"/>
        <item x="74"/>
        <item x="141"/>
        <item x="85"/>
        <item x="302"/>
        <item x="232"/>
        <item x="308"/>
        <item x="58"/>
        <item x="57"/>
        <item x="21"/>
        <item x="17"/>
        <item x="343"/>
        <item x="128"/>
        <item x="14"/>
        <item x="241"/>
        <item x="365"/>
        <item x="86"/>
        <item x="18"/>
        <item x="82"/>
        <item x="8"/>
        <item x="11"/>
        <item x="36"/>
        <item x="159"/>
        <item x="72"/>
        <item x="306"/>
        <item x="165"/>
        <item x="4"/>
        <item x="54"/>
        <item x="313"/>
        <item x="245"/>
        <item x="191"/>
        <item t="default"/>
      </items>
    </pivotField>
    <pivotField compact="0" numFmtId="4" showAll="0">
      <items count="17">
        <item x="0"/>
        <item x="12"/>
        <item x="14"/>
        <item x="15"/>
        <item x="11"/>
        <item x="13"/>
        <item x="10"/>
        <item x="9"/>
        <item x="8"/>
        <item x="6"/>
        <item x="7"/>
        <item x="5"/>
        <item x="4"/>
        <item x="3"/>
        <item x="2"/>
        <item x="1"/>
        <item t="default"/>
      </items>
    </pivotField>
    <pivotField compact="0" numFmtId="4" showAll="0">
      <items count="17">
        <item x="0"/>
        <item x="12"/>
        <item x="14"/>
        <item x="15"/>
        <item x="11"/>
        <item x="13"/>
        <item x="10"/>
        <item x="9"/>
        <item x="8"/>
        <item x="6"/>
        <item x="7"/>
        <item x="5"/>
        <item x="4"/>
        <item x="3"/>
        <item x="2"/>
        <item x="1"/>
        <item t="default"/>
      </items>
    </pivotField>
    <pivotField compact="0" numFmtId="4" showAll="0">
      <items count="386">
        <item x="355"/>
        <item x="350"/>
        <item x="378"/>
        <item x="368"/>
        <item x="383"/>
        <item x="376"/>
        <item x="372"/>
        <item x="361"/>
        <item x="352"/>
        <item x="384"/>
        <item x="382"/>
        <item x="351"/>
        <item x="374"/>
        <item x="381"/>
        <item x="363"/>
        <item x="342"/>
        <item x="345"/>
        <item x="370"/>
        <item x="377"/>
        <item x="356"/>
        <item x="366"/>
        <item x="365"/>
        <item x="367"/>
        <item x="371"/>
        <item x="357"/>
        <item x="364"/>
        <item x="347"/>
        <item x="353"/>
        <item x="375"/>
        <item x="369"/>
        <item x="348"/>
        <item x="373"/>
        <item x="380"/>
        <item x="379"/>
        <item x="349"/>
        <item x="359"/>
        <item x="336"/>
        <item x="362"/>
        <item x="341"/>
        <item x="360"/>
        <item x="340"/>
        <item x="344"/>
        <item x="334"/>
        <item x="343"/>
        <item x="330"/>
        <item x="335"/>
        <item x="329"/>
        <item x="338"/>
        <item x="346"/>
        <item x="306"/>
        <item x="332"/>
        <item x="331"/>
        <item x="328"/>
        <item x="324"/>
        <item x="339"/>
        <item x="321"/>
        <item x="333"/>
        <item x="358"/>
        <item x="337"/>
        <item x="313"/>
        <item x="354"/>
        <item x="317"/>
        <item x="327"/>
        <item x="326"/>
        <item x="325"/>
        <item x="319"/>
        <item x="323"/>
        <item x="318"/>
        <item x="311"/>
        <item x="320"/>
        <item x="316"/>
        <item x="315"/>
        <item x="310"/>
        <item x="312"/>
        <item x="314"/>
        <item x="307"/>
        <item x="297"/>
        <item x="302"/>
        <item x="308"/>
        <item x="309"/>
        <item x="304"/>
        <item x="322"/>
        <item x="300"/>
        <item x="305"/>
        <item x="303"/>
        <item x="286"/>
        <item x="296"/>
        <item x="301"/>
        <item x="298"/>
        <item x="293"/>
        <item x="299"/>
        <item x="287"/>
        <item x="295"/>
        <item x="292"/>
        <item x="274"/>
        <item x="294"/>
        <item x="288"/>
        <item x="284"/>
        <item x="289"/>
        <item x="290"/>
        <item x="291"/>
        <item x="285"/>
        <item x="278"/>
        <item x="279"/>
        <item x="267"/>
        <item x="283"/>
        <item x="270"/>
        <item x="282"/>
        <item x="258"/>
        <item x="281"/>
        <item x="280"/>
        <item x="271"/>
        <item x="277"/>
        <item x="276"/>
        <item x="272"/>
        <item x="268"/>
        <item x="269"/>
        <item x="266"/>
        <item x="265"/>
        <item x="246"/>
        <item x="262"/>
        <item x="240"/>
        <item x="260"/>
        <item x="273"/>
        <item x="264"/>
        <item x="231"/>
        <item x="251"/>
        <item x="263"/>
        <item x="261"/>
        <item x="257"/>
        <item x="236"/>
        <item x="252"/>
        <item x="259"/>
        <item x="249"/>
        <item x="253"/>
        <item x="254"/>
        <item x="232"/>
        <item x="255"/>
        <item x="245"/>
        <item x="244"/>
        <item x="238"/>
        <item x="247"/>
        <item x="243"/>
        <item x="215"/>
        <item x="235"/>
        <item x="213"/>
        <item x="242"/>
        <item x="239"/>
        <item x="250"/>
        <item x="237"/>
        <item x="241"/>
        <item x="226"/>
        <item x="217"/>
        <item x="234"/>
        <item x="248"/>
        <item x="229"/>
        <item x="227"/>
        <item x="228"/>
        <item x="189"/>
        <item x="225"/>
        <item x="224"/>
        <item x="208"/>
        <item x="222"/>
        <item x="256"/>
        <item x="230"/>
        <item x="220"/>
        <item x="223"/>
        <item x="184"/>
        <item x="233"/>
        <item x="219"/>
        <item x="211"/>
        <item x="221"/>
        <item x="203"/>
        <item x="209"/>
        <item x="198"/>
        <item x="216"/>
        <item x="191"/>
        <item x="201"/>
        <item x="154"/>
        <item x="212"/>
        <item x="218"/>
        <item x="199"/>
        <item x="206"/>
        <item x="207"/>
        <item x="210"/>
        <item x="204"/>
        <item x="202"/>
        <item x="200"/>
        <item x="192"/>
        <item x="194"/>
        <item x="186"/>
        <item x="181"/>
        <item x="187"/>
        <item x="275"/>
        <item x="176"/>
        <item x="195"/>
        <item x="214"/>
        <item x="197"/>
        <item x="196"/>
        <item x="193"/>
        <item x="179"/>
        <item x="188"/>
        <item x="175"/>
        <item x="190"/>
        <item x="180"/>
        <item x="205"/>
        <item x="183"/>
        <item x="177"/>
        <item x="178"/>
        <item x="185"/>
        <item x="182"/>
        <item x="173"/>
        <item x="169"/>
        <item x="174"/>
        <item x="170"/>
        <item x="172"/>
        <item x="167"/>
        <item x="145"/>
        <item x="168"/>
        <item x="163"/>
        <item x="166"/>
        <item x="165"/>
        <item x="164"/>
        <item x="157"/>
        <item x="139"/>
        <item x="171"/>
        <item x="119"/>
        <item x="159"/>
        <item x="161"/>
        <item x="156"/>
        <item x="162"/>
        <item x="155"/>
        <item x="160"/>
        <item x="148"/>
        <item x="151"/>
        <item x="158"/>
        <item x="150"/>
        <item x="147"/>
        <item x="152"/>
        <item x="153"/>
        <item x="146"/>
        <item x="149"/>
        <item x="121"/>
        <item x="142"/>
        <item x="143"/>
        <item x="141"/>
        <item x="137"/>
        <item x="131"/>
        <item x="138"/>
        <item x="127"/>
        <item x="144"/>
        <item x="133"/>
        <item x="98"/>
        <item x="136"/>
        <item x="134"/>
        <item x="118"/>
        <item x="140"/>
        <item x="129"/>
        <item x="123"/>
        <item x="103"/>
        <item x="130"/>
        <item x="124"/>
        <item x="115"/>
        <item x="135"/>
        <item x="132"/>
        <item x="122"/>
        <item x="128"/>
        <item x="116"/>
        <item x="126"/>
        <item x="125"/>
        <item x="112"/>
        <item x="120"/>
        <item x="117"/>
        <item x="113"/>
        <item x="114"/>
        <item x="109"/>
        <item x="108"/>
        <item x="111"/>
        <item x="107"/>
        <item x="110"/>
        <item x="106"/>
        <item x="104"/>
        <item x="105"/>
        <item x="97"/>
        <item x="67"/>
        <item x="94"/>
        <item x="102"/>
        <item x="100"/>
        <item x="96"/>
        <item x="99"/>
        <item x="95"/>
        <item x="90"/>
        <item x="93"/>
        <item x="101"/>
        <item x="92"/>
        <item x="89"/>
        <item x="82"/>
        <item x="85"/>
        <item x="87"/>
        <item x="91"/>
        <item x="84"/>
        <item x="88"/>
        <item x="78"/>
        <item x="79"/>
        <item x="86"/>
        <item x="81"/>
        <item x="80"/>
        <item x="83"/>
        <item x="77"/>
        <item x="72"/>
        <item x="76"/>
        <item x="75"/>
        <item x="74"/>
        <item x="71"/>
        <item x="70"/>
        <item x="69"/>
        <item x="73"/>
        <item x="68"/>
        <item x="66"/>
        <item x="65"/>
        <item x="64"/>
        <item x="58"/>
        <item x="62"/>
        <item x="61"/>
        <item x="60"/>
        <item x="63"/>
        <item x="42"/>
        <item x="59"/>
        <item x="50"/>
        <item x="56"/>
        <item x="57"/>
        <item x="54"/>
        <item x="53"/>
        <item x="55"/>
        <item x="51"/>
        <item x="52"/>
        <item x="41"/>
        <item x="49"/>
        <item x="43"/>
        <item x="48"/>
        <item x="46"/>
        <item x="44"/>
        <item x="47"/>
        <item x="45"/>
        <item x="40"/>
        <item x="39"/>
        <item x="36"/>
        <item x="38"/>
        <item x="37"/>
        <item x="35"/>
        <item x="33"/>
        <item x="28"/>
        <item x="34"/>
        <item x="31"/>
        <item x="32"/>
        <item x="27"/>
        <item x="30"/>
        <item x="29"/>
        <item x="26"/>
        <item x="21"/>
        <item x="25"/>
        <item x="22"/>
        <item x="18"/>
        <item x="7"/>
        <item x="24"/>
        <item x="23"/>
        <item x="20"/>
        <item x="17"/>
        <item x="16"/>
        <item x="19"/>
        <item x="15"/>
        <item x="14"/>
        <item x="12"/>
        <item x="13"/>
        <item x="10"/>
        <item x="11"/>
        <item x="9"/>
        <item x="8"/>
        <item x="6"/>
        <item x="4"/>
        <item x="5"/>
        <item x="3"/>
        <item x="2"/>
        <item x="1"/>
        <item x="0"/>
        <item t="default"/>
      </items>
    </pivotField>
    <pivotField compact="0" numFmtId="2" showAll="0">
      <items count="399">
        <item x="355"/>
        <item x="350"/>
        <item x="373"/>
        <item x="379"/>
        <item x="383"/>
        <item x="385"/>
        <item x="342"/>
        <item x="368"/>
        <item x="352"/>
        <item x="345"/>
        <item x="351"/>
        <item x="361"/>
        <item x="384"/>
        <item x="306"/>
        <item x="372"/>
        <item x="363"/>
        <item x="356"/>
        <item x="347"/>
        <item x="388"/>
        <item x="380"/>
        <item x="353"/>
        <item x="313"/>
        <item x="336"/>
        <item x="348"/>
        <item x="375"/>
        <item x="370"/>
        <item x="365"/>
        <item x="395"/>
        <item x="317"/>
        <item x="286"/>
        <item x="357"/>
        <item x="321"/>
        <item x="297"/>
        <item x="366"/>
        <item x="324"/>
        <item x="330"/>
        <item x="274"/>
        <item x="258"/>
        <item x="376"/>
        <item x="329"/>
        <item x="367"/>
        <item x="154"/>
        <item x="349"/>
        <item x="300"/>
        <item x="302"/>
        <item x="267"/>
        <item x="119"/>
        <item x="67"/>
        <item x="334"/>
        <item x="98"/>
        <item x="7"/>
        <item x="287"/>
        <item x="341"/>
        <item x="364"/>
        <item x="319"/>
        <item x="189"/>
        <item x="240"/>
        <item x="246"/>
        <item x="231"/>
        <item x="42"/>
        <item x="139"/>
        <item x="310"/>
        <item x="270"/>
        <item x="215"/>
        <item x="145"/>
        <item x="304"/>
        <item x="184"/>
        <item x="307"/>
        <item x="335"/>
        <item x="213"/>
        <item x="311"/>
        <item x="293"/>
        <item x="236"/>
        <item x="328"/>
        <item x="103"/>
        <item x="278"/>
        <item x="391"/>
        <item x="279"/>
        <item x="121"/>
        <item x="296"/>
        <item x="340"/>
        <item x="284"/>
        <item x="251"/>
        <item x="318"/>
        <item x="308"/>
        <item x="217"/>
        <item x="371"/>
        <item x="292"/>
        <item x="312"/>
        <item x="271"/>
        <item x="27"/>
        <item x="309"/>
        <item x="288"/>
        <item x="325"/>
        <item x="208"/>
        <item x="232"/>
        <item x="331"/>
        <item x="191"/>
        <item x="381"/>
        <item x="252"/>
        <item x="298"/>
        <item x="176"/>
        <item x="50"/>
        <item x="305"/>
        <item x="268"/>
        <item x="316"/>
        <item x="181"/>
        <item x="314"/>
        <item x="41"/>
        <item x="315"/>
        <item x="169"/>
        <item x="198"/>
        <item x="203"/>
        <item x="148"/>
        <item x="303"/>
        <item x="249"/>
        <item x="175"/>
        <item x="323"/>
        <item x="157"/>
        <item x="163"/>
        <item x="179"/>
        <item x="238"/>
        <item x="235"/>
        <item x="127"/>
        <item x="170"/>
        <item x="332"/>
        <item x="186"/>
        <item x="201"/>
        <item x="28"/>
        <item x="289"/>
        <item x="115"/>
        <item x="299"/>
        <item x="94"/>
        <item x="187"/>
        <item x="147"/>
        <item x="118"/>
        <item x="156"/>
        <item x="150"/>
        <item x="338"/>
        <item x="142"/>
        <item x="112"/>
        <item x="285"/>
        <item x="69"/>
        <item x="211"/>
        <item x="131"/>
        <item x="199"/>
        <item x="173"/>
        <item x="167"/>
        <item x="244"/>
        <item x="155"/>
        <item x="295"/>
        <item x="209"/>
        <item x="262"/>
        <item x="165"/>
        <item x="54"/>
        <item x="97"/>
        <item x="290"/>
        <item x="82"/>
        <item x="78"/>
        <item x="226"/>
        <item x="245"/>
        <item x="192"/>
        <item x="109"/>
        <item x="301"/>
        <item x="172"/>
        <item x="166"/>
        <item x="283"/>
        <item x="21"/>
        <item x="151"/>
        <item x="56"/>
        <item x="43"/>
        <item x="243"/>
        <item x="116"/>
        <item x="108"/>
        <item x="90"/>
        <item x="265"/>
        <item x="220"/>
        <item x="266"/>
        <item x="4"/>
        <item x="260"/>
        <item x="222"/>
        <item x="85"/>
        <item x="257"/>
        <item x="53"/>
        <item x="18"/>
        <item x="79"/>
        <item x="227"/>
        <item x="0"/>
        <item x="237"/>
        <item x="5"/>
        <item x="66"/>
        <item x="96"/>
        <item x="146"/>
        <item x="137"/>
        <item x="239"/>
        <item x="247"/>
        <item x="40"/>
        <item x="188"/>
        <item x="123"/>
        <item x="177"/>
        <item x="10"/>
        <item x="26"/>
        <item x="159"/>
        <item x="180"/>
        <item x="104"/>
        <item x="72"/>
        <item x="229"/>
        <item x="113"/>
        <item x="9"/>
        <item x="14"/>
        <item x="71"/>
        <item x="39"/>
        <item x="228"/>
        <item x="242"/>
        <item x="68"/>
        <item x="168"/>
        <item x="200"/>
        <item x="6"/>
        <item x="70"/>
        <item x="253"/>
        <item x="183"/>
        <item x="272"/>
        <item x="31"/>
        <item x="36"/>
        <item x="1"/>
        <item x="269"/>
        <item x="58"/>
        <item x="206"/>
        <item x="107"/>
        <item x="15"/>
        <item x="164"/>
        <item x="57"/>
        <item x="194"/>
        <item x="202"/>
        <item x="33"/>
        <item x="106"/>
        <item x="138"/>
        <item x="161"/>
        <item x="95"/>
        <item x="280"/>
        <item x="178"/>
        <item x="174"/>
        <item x="234"/>
        <item x="281"/>
        <item x="124"/>
        <item x="133"/>
        <item x="219"/>
        <item x="224"/>
        <item x="2"/>
        <item x="25"/>
        <item x="81"/>
        <item x="87"/>
        <item x="8"/>
        <item x="22"/>
        <item x="12"/>
        <item x="141"/>
        <item x="162"/>
        <item x="204"/>
        <item x="223"/>
        <item x="80"/>
        <item x="51"/>
        <item x="241"/>
        <item x="89"/>
        <item x="282"/>
        <item x="75"/>
        <item x="114"/>
        <item x="64"/>
        <item x="35"/>
        <item x="74"/>
        <item x="77"/>
        <item x="3"/>
        <item x="84"/>
        <item x="195"/>
        <item x="327"/>
        <item x="122"/>
        <item x="60"/>
        <item x="29"/>
        <item x="100"/>
        <item x="110"/>
        <item x="320"/>
        <item x="62"/>
        <item x="182"/>
        <item x="13"/>
        <item x="117"/>
        <item x="76"/>
        <item x="225"/>
        <item x="143"/>
        <item x="134"/>
        <item x="17"/>
        <item x="16"/>
        <item x="261"/>
        <item x="344"/>
        <item x="61"/>
        <item x="102"/>
        <item x="160"/>
        <item x="343"/>
        <item x="152"/>
        <item x="92"/>
        <item x="193"/>
        <item x="11"/>
        <item x="23"/>
        <item x="136"/>
        <item x="196"/>
        <item x="129"/>
        <item x="44"/>
        <item x="158"/>
        <item x="24"/>
        <item x="216"/>
        <item x="99"/>
        <item x="149"/>
        <item x="55"/>
        <item x="207"/>
        <item x="46"/>
        <item x="49"/>
        <item x="65"/>
        <item x="73"/>
        <item x="291"/>
        <item x="276"/>
        <item x="221"/>
        <item x="52"/>
        <item x="105"/>
        <item x="32"/>
        <item x="197"/>
        <item x="93"/>
        <item x="48"/>
        <item x="37"/>
        <item x="45"/>
        <item x="30"/>
        <item x="19"/>
        <item x="34"/>
        <item x="190"/>
        <item x="185"/>
        <item x="294"/>
        <item x="126"/>
        <item x="153"/>
        <item x="47"/>
        <item x="38"/>
        <item x="63"/>
        <item x="254"/>
        <item x="20"/>
        <item x="277"/>
        <item x="111"/>
        <item x="263"/>
        <item x="264"/>
        <item x="212"/>
        <item x="125"/>
        <item x="120"/>
        <item x="83"/>
        <item x="130"/>
        <item x="88"/>
        <item x="210"/>
        <item x="326"/>
        <item x="128"/>
        <item x="91"/>
        <item x="255"/>
        <item x="86"/>
        <item x="250"/>
        <item x="59"/>
        <item x="144"/>
        <item x="132"/>
        <item x="230"/>
        <item x="218"/>
        <item x="259"/>
        <item x="171"/>
        <item x="140"/>
        <item x="248"/>
        <item x="394"/>
        <item x="135"/>
        <item x="101"/>
        <item x="214"/>
        <item x="233"/>
        <item x="333"/>
        <item x="205"/>
        <item x="382"/>
        <item x="390"/>
        <item x="359"/>
        <item x="256"/>
        <item x="393"/>
        <item x="389"/>
        <item x="273"/>
        <item x="369"/>
        <item x="339"/>
        <item x="337"/>
        <item x="322"/>
        <item x="396"/>
        <item x="378"/>
        <item x="346"/>
        <item x="377"/>
        <item x="374"/>
        <item x="362"/>
        <item x="360"/>
        <item x="275"/>
        <item x="392"/>
        <item x="354"/>
        <item x="358"/>
        <item x="387"/>
        <item x="386"/>
        <item x="397"/>
        <item t="default"/>
      </items>
    </pivotField>
    <pivotField compact="0" numFmtId="4" showAll="0">
      <items count="385">
        <item x="354"/>
        <item x="349"/>
        <item x="377"/>
        <item x="367"/>
        <item x="382"/>
        <item x="375"/>
        <item x="371"/>
        <item x="360"/>
        <item x="351"/>
        <item x="383"/>
        <item x="381"/>
        <item x="350"/>
        <item x="373"/>
        <item x="380"/>
        <item x="362"/>
        <item x="341"/>
        <item x="344"/>
        <item x="369"/>
        <item x="376"/>
        <item x="355"/>
        <item x="365"/>
        <item x="364"/>
        <item x="366"/>
        <item x="370"/>
        <item x="356"/>
        <item x="363"/>
        <item x="346"/>
        <item x="352"/>
        <item x="374"/>
        <item x="368"/>
        <item x="347"/>
        <item x="372"/>
        <item x="379"/>
        <item x="378"/>
        <item x="348"/>
        <item x="358"/>
        <item x="335"/>
        <item x="361"/>
        <item x="340"/>
        <item x="359"/>
        <item x="339"/>
        <item x="343"/>
        <item x="333"/>
        <item x="342"/>
        <item x="329"/>
        <item x="334"/>
        <item x="328"/>
        <item x="337"/>
        <item x="345"/>
        <item x="305"/>
        <item x="331"/>
        <item x="330"/>
        <item x="327"/>
        <item x="323"/>
        <item x="338"/>
        <item x="320"/>
        <item x="332"/>
        <item x="357"/>
        <item x="336"/>
        <item x="312"/>
        <item x="353"/>
        <item x="316"/>
        <item x="326"/>
        <item x="325"/>
        <item x="324"/>
        <item x="318"/>
        <item x="322"/>
        <item x="317"/>
        <item x="310"/>
        <item x="319"/>
        <item x="315"/>
        <item x="314"/>
        <item x="309"/>
        <item x="311"/>
        <item x="313"/>
        <item x="306"/>
        <item x="296"/>
        <item x="301"/>
        <item x="307"/>
        <item x="308"/>
        <item x="303"/>
        <item x="321"/>
        <item x="299"/>
        <item x="304"/>
        <item x="302"/>
        <item x="285"/>
        <item x="295"/>
        <item x="300"/>
        <item x="297"/>
        <item x="292"/>
        <item x="298"/>
        <item x="286"/>
        <item x="294"/>
        <item x="291"/>
        <item x="293"/>
        <item x="287"/>
        <item x="283"/>
        <item x="288"/>
        <item x="289"/>
        <item x="273"/>
        <item x="290"/>
        <item x="284"/>
        <item x="277"/>
        <item x="278"/>
        <item x="266"/>
        <item x="282"/>
        <item x="281"/>
        <item x="257"/>
        <item x="280"/>
        <item x="279"/>
        <item x="269"/>
        <item x="270"/>
        <item x="276"/>
        <item x="275"/>
        <item x="271"/>
        <item x="267"/>
        <item x="268"/>
        <item x="265"/>
        <item x="264"/>
        <item x="246"/>
        <item x="261"/>
        <item x="259"/>
        <item x="272"/>
        <item x="240"/>
        <item x="263"/>
        <item x="231"/>
        <item x="251"/>
        <item x="262"/>
        <item x="260"/>
        <item x="256"/>
        <item x="252"/>
        <item x="258"/>
        <item x="249"/>
        <item x="236"/>
        <item x="253"/>
        <item x="254"/>
        <item x="232"/>
        <item x="255"/>
        <item x="245"/>
        <item x="244"/>
        <item x="238"/>
        <item x="247"/>
        <item x="243"/>
        <item x="215"/>
        <item x="235"/>
        <item x="213"/>
        <item x="242"/>
        <item x="239"/>
        <item x="250"/>
        <item x="237"/>
        <item x="241"/>
        <item x="226"/>
        <item x="217"/>
        <item x="234"/>
        <item x="248"/>
        <item x="229"/>
        <item x="227"/>
        <item x="228"/>
        <item x="225"/>
        <item x="224"/>
        <item x="208"/>
        <item x="222"/>
        <item x="230"/>
        <item x="189"/>
        <item x="220"/>
        <item x="223"/>
        <item x="233"/>
        <item x="219"/>
        <item x="211"/>
        <item x="221"/>
        <item x="203"/>
        <item x="209"/>
        <item x="198"/>
        <item x="216"/>
        <item x="191"/>
        <item x="201"/>
        <item x="212"/>
        <item x="218"/>
        <item x="199"/>
        <item x="206"/>
        <item x="207"/>
        <item x="210"/>
        <item x="204"/>
        <item x="202"/>
        <item x="200"/>
        <item x="192"/>
        <item x="194"/>
        <item x="186"/>
        <item x="181"/>
        <item x="187"/>
        <item x="274"/>
        <item x="176"/>
        <item x="195"/>
        <item x="214"/>
        <item x="184"/>
        <item x="197"/>
        <item x="196"/>
        <item x="193"/>
        <item x="179"/>
        <item x="188"/>
        <item x="175"/>
        <item x="190"/>
        <item x="180"/>
        <item x="205"/>
        <item x="183"/>
        <item x="177"/>
        <item x="178"/>
        <item x="185"/>
        <item x="182"/>
        <item x="173"/>
        <item x="169"/>
        <item x="174"/>
        <item x="170"/>
        <item x="172"/>
        <item x="154"/>
        <item x="167"/>
        <item x="145"/>
        <item x="168"/>
        <item x="163"/>
        <item x="166"/>
        <item x="165"/>
        <item x="164"/>
        <item x="157"/>
        <item x="171"/>
        <item x="159"/>
        <item x="161"/>
        <item x="156"/>
        <item x="162"/>
        <item x="155"/>
        <item x="160"/>
        <item x="148"/>
        <item x="151"/>
        <item x="158"/>
        <item x="150"/>
        <item x="147"/>
        <item x="152"/>
        <item x="153"/>
        <item x="146"/>
        <item x="149"/>
        <item x="139"/>
        <item x="121"/>
        <item x="142"/>
        <item x="143"/>
        <item x="141"/>
        <item x="137"/>
        <item x="119"/>
        <item x="131"/>
        <item x="138"/>
        <item x="127"/>
        <item x="144"/>
        <item x="133"/>
        <item x="136"/>
        <item x="134"/>
        <item x="118"/>
        <item x="140"/>
        <item x="129"/>
        <item x="123"/>
        <item x="130"/>
        <item x="124"/>
        <item x="115"/>
        <item x="135"/>
        <item x="132"/>
        <item x="122"/>
        <item x="128"/>
        <item x="116"/>
        <item x="126"/>
        <item x="125"/>
        <item x="112"/>
        <item x="120"/>
        <item x="117"/>
        <item x="113"/>
        <item x="114"/>
        <item x="109"/>
        <item x="108"/>
        <item x="103"/>
        <item x="111"/>
        <item x="107"/>
        <item x="110"/>
        <item x="106"/>
        <item x="104"/>
        <item x="105"/>
        <item x="98"/>
        <item x="97"/>
        <item x="94"/>
        <item x="102"/>
        <item x="100"/>
        <item x="96"/>
        <item x="99"/>
        <item x="95"/>
        <item x="90"/>
        <item x="93"/>
        <item x="101"/>
        <item x="92"/>
        <item x="89"/>
        <item x="82"/>
        <item x="85"/>
        <item x="87"/>
        <item x="91"/>
        <item x="84"/>
        <item x="88"/>
        <item x="78"/>
        <item x="79"/>
        <item x="86"/>
        <item x="81"/>
        <item x="80"/>
        <item x="83"/>
        <item x="77"/>
        <item x="72"/>
        <item x="76"/>
        <item x="75"/>
        <item x="74"/>
        <item x="71"/>
        <item x="70"/>
        <item x="69"/>
        <item x="73"/>
        <item x="67"/>
        <item x="68"/>
        <item x="66"/>
        <item x="65"/>
        <item x="64"/>
        <item x="58"/>
        <item x="62"/>
        <item x="61"/>
        <item x="60"/>
        <item x="63"/>
        <item x="59"/>
        <item x="50"/>
        <item x="56"/>
        <item x="57"/>
        <item x="54"/>
        <item x="53"/>
        <item x="55"/>
        <item x="51"/>
        <item x="52"/>
        <item x="41"/>
        <item x="49"/>
        <item x="43"/>
        <item x="42"/>
        <item x="48"/>
        <item x="46"/>
        <item x="44"/>
        <item x="47"/>
        <item x="45"/>
        <item x="40"/>
        <item x="39"/>
        <item x="36"/>
        <item x="38"/>
        <item x="37"/>
        <item x="35"/>
        <item x="33"/>
        <item x="28"/>
        <item x="34"/>
        <item x="31"/>
        <item x="32"/>
        <item x="30"/>
        <item x="29"/>
        <item x="27"/>
        <item x="26"/>
        <item x="21"/>
        <item x="25"/>
        <item x="22"/>
        <item x="18"/>
        <item x="24"/>
        <item x="23"/>
        <item x="20"/>
        <item x="17"/>
        <item x="16"/>
        <item x="19"/>
        <item x="15"/>
        <item x="14"/>
        <item x="12"/>
        <item x="13"/>
        <item x="10"/>
        <item x="11"/>
        <item x="9"/>
        <item x="7"/>
        <item x="8"/>
        <item x="6"/>
        <item x="4"/>
        <item x="5"/>
        <item x="3"/>
        <item x="2"/>
        <item x="1"/>
        <item x="0"/>
        <item t="default"/>
      </items>
    </pivotField>
    <pivotField compact="0" numFmtId="2" showAll="0">
      <items count="399">
        <item x="355"/>
        <item x="350"/>
        <item x="373"/>
        <item x="379"/>
        <item x="383"/>
        <item x="385"/>
        <item x="342"/>
        <item x="368"/>
        <item x="352"/>
        <item x="345"/>
        <item x="351"/>
        <item x="361"/>
        <item x="384"/>
        <item x="306"/>
        <item x="372"/>
        <item x="363"/>
        <item x="356"/>
        <item x="347"/>
        <item x="388"/>
        <item x="380"/>
        <item x="353"/>
        <item x="313"/>
        <item x="336"/>
        <item x="348"/>
        <item x="375"/>
        <item x="370"/>
        <item x="365"/>
        <item x="395"/>
        <item x="317"/>
        <item x="286"/>
        <item x="357"/>
        <item x="321"/>
        <item x="297"/>
        <item x="366"/>
        <item x="324"/>
        <item x="330"/>
        <item x="258"/>
        <item x="376"/>
        <item x="329"/>
        <item x="367"/>
        <item x="349"/>
        <item x="300"/>
        <item x="302"/>
        <item x="267"/>
        <item x="334"/>
        <item x="274"/>
        <item x="287"/>
        <item x="341"/>
        <item x="364"/>
        <item x="319"/>
        <item x="246"/>
        <item x="231"/>
        <item x="310"/>
        <item x="240"/>
        <item x="215"/>
        <item x="145"/>
        <item x="304"/>
        <item x="307"/>
        <item x="335"/>
        <item x="213"/>
        <item x="311"/>
        <item x="293"/>
        <item x="189"/>
        <item x="328"/>
        <item x="278"/>
        <item x="391"/>
        <item x="279"/>
        <item x="121"/>
        <item x="296"/>
        <item x="270"/>
        <item x="154"/>
        <item x="340"/>
        <item x="284"/>
        <item x="251"/>
        <item x="318"/>
        <item x="308"/>
        <item x="217"/>
        <item x="371"/>
        <item x="292"/>
        <item x="312"/>
        <item x="271"/>
        <item x="309"/>
        <item x="288"/>
        <item x="325"/>
        <item x="208"/>
        <item x="232"/>
        <item x="331"/>
        <item x="191"/>
        <item x="381"/>
        <item x="236"/>
        <item x="252"/>
        <item x="298"/>
        <item x="176"/>
        <item x="50"/>
        <item x="119"/>
        <item x="305"/>
        <item x="268"/>
        <item x="316"/>
        <item x="181"/>
        <item x="314"/>
        <item x="103"/>
        <item x="41"/>
        <item x="315"/>
        <item x="169"/>
        <item x="198"/>
        <item x="203"/>
        <item x="139"/>
        <item x="148"/>
        <item x="303"/>
        <item x="249"/>
        <item x="7"/>
        <item x="175"/>
        <item x="323"/>
        <item x="157"/>
        <item x="163"/>
        <item x="179"/>
        <item x="238"/>
        <item x="235"/>
        <item x="127"/>
        <item x="170"/>
        <item x="98"/>
        <item x="332"/>
        <item x="186"/>
        <item x="184"/>
        <item x="201"/>
        <item x="28"/>
        <item x="289"/>
        <item x="67"/>
        <item x="115"/>
        <item x="42"/>
        <item x="299"/>
        <item x="94"/>
        <item x="187"/>
        <item x="147"/>
        <item x="118"/>
        <item x="156"/>
        <item x="150"/>
        <item x="338"/>
        <item x="142"/>
        <item x="112"/>
        <item x="285"/>
        <item x="69"/>
        <item x="211"/>
        <item x="131"/>
        <item x="199"/>
        <item x="173"/>
        <item x="167"/>
        <item x="244"/>
        <item x="155"/>
        <item x="295"/>
        <item x="209"/>
        <item x="262"/>
        <item x="165"/>
        <item x="54"/>
        <item x="97"/>
        <item x="290"/>
        <item x="82"/>
        <item x="78"/>
        <item x="226"/>
        <item x="245"/>
        <item x="192"/>
        <item x="109"/>
        <item x="301"/>
        <item x="172"/>
        <item x="166"/>
        <item x="283"/>
        <item x="21"/>
        <item x="151"/>
        <item x="56"/>
        <item x="43"/>
        <item x="243"/>
        <item x="116"/>
        <item x="108"/>
        <item x="90"/>
        <item x="265"/>
        <item x="220"/>
        <item x="266"/>
        <item x="4"/>
        <item x="260"/>
        <item x="85"/>
        <item x="257"/>
        <item x="53"/>
        <item x="18"/>
        <item x="79"/>
        <item x="227"/>
        <item x="0"/>
        <item x="222"/>
        <item x="237"/>
        <item x="5"/>
        <item x="66"/>
        <item x="96"/>
        <item x="146"/>
        <item x="137"/>
        <item x="239"/>
        <item x="247"/>
        <item x="40"/>
        <item x="188"/>
        <item x="123"/>
        <item x="177"/>
        <item x="10"/>
        <item x="26"/>
        <item x="159"/>
        <item x="180"/>
        <item x="27"/>
        <item x="104"/>
        <item x="72"/>
        <item x="229"/>
        <item x="113"/>
        <item x="9"/>
        <item x="14"/>
        <item x="71"/>
        <item x="39"/>
        <item x="228"/>
        <item x="242"/>
        <item x="68"/>
        <item x="168"/>
        <item x="200"/>
        <item x="6"/>
        <item x="70"/>
        <item x="253"/>
        <item x="183"/>
        <item x="272"/>
        <item x="31"/>
        <item x="36"/>
        <item x="1"/>
        <item x="269"/>
        <item x="58"/>
        <item x="206"/>
        <item x="107"/>
        <item x="15"/>
        <item x="164"/>
        <item x="57"/>
        <item x="194"/>
        <item x="202"/>
        <item x="33"/>
        <item x="106"/>
        <item x="138"/>
        <item x="161"/>
        <item x="95"/>
        <item x="280"/>
        <item x="178"/>
        <item x="174"/>
        <item x="234"/>
        <item x="281"/>
        <item x="124"/>
        <item x="133"/>
        <item x="219"/>
        <item x="224"/>
        <item x="2"/>
        <item x="25"/>
        <item x="81"/>
        <item x="87"/>
        <item x="8"/>
        <item x="22"/>
        <item x="12"/>
        <item x="141"/>
        <item x="162"/>
        <item x="204"/>
        <item x="223"/>
        <item x="80"/>
        <item x="51"/>
        <item x="241"/>
        <item x="89"/>
        <item x="282"/>
        <item x="75"/>
        <item x="114"/>
        <item x="64"/>
        <item x="35"/>
        <item x="74"/>
        <item x="77"/>
        <item x="3"/>
        <item x="84"/>
        <item x="195"/>
        <item x="327"/>
        <item x="122"/>
        <item x="60"/>
        <item x="29"/>
        <item x="100"/>
        <item x="110"/>
        <item x="320"/>
        <item x="62"/>
        <item x="182"/>
        <item x="13"/>
        <item x="117"/>
        <item x="76"/>
        <item x="225"/>
        <item x="143"/>
        <item x="134"/>
        <item x="17"/>
        <item x="16"/>
        <item x="261"/>
        <item x="344"/>
        <item x="61"/>
        <item x="102"/>
        <item x="160"/>
        <item x="343"/>
        <item x="152"/>
        <item x="92"/>
        <item x="193"/>
        <item x="11"/>
        <item x="23"/>
        <item x="136"/>
        <item x="196"/>
        <item x="129"/>
        <item x="44"/>
        <item x="158"/>
        <item x="24"/>
        <item x="216"/>
        <item x="99"/>
        <item x="149"/>
        <item x="55"/>
        <item x="207"/>
        <item x="46"/>
        <item x="49"/>
        <item x="65"/>
        <item x="73"/>
        <item x="291"/>
        <item x="276"/>
        <item x="221"/>
        <item x="52"/>
        <item x="105"/>
        <item x="32"/>
        <item x="197"/>
        <item x="93"/>
        <item x="48"/>
        <item x="37"/>
        <item x="45"/>
        <item x="30"/>
        <item x="19"/>
        <item x="34"/>
        <item x="190"/>
        <item x="185"/>
        <item x="294"/>
        <item x="126"/>
        <item x="153"/>
        <item x="47"/>
        <item x="38"/>
        <item x="63"/>
        <item x="254"/>
        <item x="20"/>
        <item x="277"/>
        <item x="111"/>
        <item x="263"/>
        <item x="264"/>
        <item x="212"/>
        <item x="125"/>
        <item x="120"/>
        <item x="83"/>
        <item x="130"/>
        <item x="88"/>
        <item x="210"/>
        <item x="326"/>
        <item x="128"/>
        <item x="91"/>
        <item x="255"/>
        <item x="86"/>
        <item x="250"/>
        <item x="59"/>
        <item x="144"/>
        <item x="132"/>
        <item x="230"/>
        <item x="218"/>
        <item x="259"/>
        <item x="171"/>
        <item x="140"/>
        <item x="248"/>
        <item x="394"/>
        <item x="135"/>
        <item x="101"/>
        <item x="214"/>
        <item x="233"/>
        <item x="333"/>
        <item x="205"/>
        <item x="382"/>
        <item x="390"/>
        <item x="359"/>
        <item x="256"/>
        <item x="393"/>
        <item x="389"/>
        <item x="273"/>
        <item x="369"/>
        <item x="339"/>
        <item x="337"/>
        <item x="322"/>
        <item x="396"/>
        <item x="378"/>
        <item x="346"/>
        <item x="377"/>
        <item x="374"/>
        <item x="362"/>
        <item x="360"/>
        <item x="275"/>
        <item x="392"/>
        <item x="354"/>
        <item x="358"/>
        <item x="387"/>
        <item x="386"/>
        <item x="397"/>
        <item t="default"/>
      </items>
    </pivotField>
    <pivotField compact="0" numFmtId="3" showAll="0">
      <items count="353">
        <item x="0"/>
        <item x="339"/>
        <item x="350"/>
        <item x="349"/>
        <item x="313"/>
        <item x="348"/>
        <item x="342"/>
        <item x="347"/>
        <item x="351"/>
        <item x="345"/>
        <item x="344"/>
        <item x="340"/>
        <item x="337"/>
        <item x="346"/>
        <item x="336"/>
        <item x="332"/>
        <item x="302"/>
        <item x="341"/>
        <item x="335"/>
        <item x="343"/>
        <item x="333"/>
        <item x="331"/>
        <item x="334"/>
        <item x="338"/>
        <item x="330"/>
        <item x="328"/>
        <item x="306"/>
        <item x="308"/>
        <item x="296"/>
        <item x="326"/>
        <item x="324"/>
        <item x="327"/>
        <item x="329"/>
        <item x="325"/>
        <item x="290"/>
        <item x="314"/>
        <item x="317"/>
        <item x="320"/>
        <item x="323"/>
        <item x="319"/>
        <item x="276"/>
        <item x="315"/>
        <item x="321"/>
        <item x="322"/>
        <item x="299"/>
        <item x="318"/>
        <item x="310"/>
        <item x="304"/>
        <item x="305"/>
        <item x="312"/>
        <item x="316"/>
        <item x="303"/>
        <item x="307"/>
        <item x="297"/>
        <item x="309"/>
        <item x="311"/>
        <item x="274"/>
        <item x="291"/>
        <item x="257"/>
        <item x="287"/>
        <item x="285"/>
        <item x="300"/>
        <item x="294"/>
        <item x="293"/>
        <item x="288"/>
        <item x="298"/>
        <item x="301"/>
        <item x="292"/>
        <item x="264"/>
        <item x="249"/>
        <item x="281"/>
        <item x="282"/>
        <item x="295"/>
        <item x="283"/>
        <item x="284"/>
        <item x="260"/>
        <item x="268"/>
        <item x="279"/>
        <item x="277"/>
        <item x="289"/>
        <item x="231"/>
        <item x="275"/>
        <item x="223"/>
        <item x="254"/>
        <item x="237"/>
        <item x="269"/>
        <item x="273"/>
        <item x="278"/>
        <item x="263"/>
        <item x="272"/>
        <item x="258"/>
        <item x="46"/>
        <item x="265"/>
        <item x="286"/>
        <item x="262"/>
        <item x="228"/>
        <item x="217"/>
        <item x="251"/>
        <item x="247"/>
        <item x="259"/>
        <item x="271"/>
        <item x="216"/>
        <item x="220"/>
        <item x="240"/>
        <item x="198"/>
        <item x="232"/>
        <item x="246"/>
        <item x="207"/>
        <item x="214"/>
        <item x="270"/>
        <item x="241"/>
        <item x="261"/>
        <item x="233"/>
        <item x="255"/>
        <item x="230"/>
        <item x="243"/>
        <item x="266"/>
        <item x="235"/>
        <item x="239"/>
        <item x="280"/>
        <item x="242"/>
        <item x="250"/>
        <item x="215"/>
        <item x="208"/>
        <item x="205"/>
        <item x="206"/>
        <item x="236"/>
        <item x="252"/>
        <item x="194"/>
        <item x="227"/>
        <item x="190"/>
        <item x="238"/>
        <item x="248"/>
        <item x="253"/>
        <item x="149"/>
        <item x="140"/>
        <item x="224"/>
        <item x="219"/>
        <item x="202"/>
        <item x="267"/>
        <item x="234"/>
        <item x="222"/>
        <item x="229"/>
        <item x="256"/>
        <item x="221"/>
        <item x="244"/>
        <item x="192"/>
        <item x="191"/>
        <item x="245"/>
        <item x="212"/>
        <item x="211"/>
        <item x="179"/>
        <item x="210"/>
        <item x="200"/>
        <item x="170"/>
        <item x="226"/>
        <item x="166"/>
        <item x="199"/>
        <item x="183"/>
        <item x="193"/>
        <item x="218"/>
        <item x="177"/>
        <item x="159"/>
        <item x="172"/>
        <item x="137"/>
        <item x="187"/>
        <item x="201"/>
        <item x="164"/>
        <item x="204"/>
        <item x="196"/>
        <item x="225"/>
        <item x="155"/>
        <item x="185"/>
        <item x="135"/>
        <item x="213"/>
        <item x="122"/>
        <item x="184"/>
        <item x="181"/>
        <item x="138"/>
        <item x="188"/>
        <item x="186"/>
        <item x="195"/>
        <item x="176"/>
        <item x="148"/>
        <item x="182"/>
        <item x="141"/>
        <item x="168"/>
        <item x="197"/>
        <item x="147"/>
        <item x="189"/>
        <item x="209"/>
        <item x="171"/>
        <item x="174"/>
        <item x="126"/>
        <item x="136"/>
        <item x="165"/>
        <item x="167"/>
        <item x="163"/>
        <item x="109"/>
        <item x="151"/>
        <item x="134"/>
        <item x="142"/>
        <item x="169"/>
        <item x="178"/>
        <item x="130"/>
        <item x="158"/>
        <item x="157"/>
        <item x="152"/>
        <item x="180"/>
        <item x="144"/>
        <item x="119"/>
        <item x="173"/>
        <item x="175"/>
        <item x="161"/>
        <item x="99"/>
        <item x="124"/>
        <item x="133"/>
        <item x="131"/>
        <item x="203"/>
        <item x="154"/>
        <item x="94"/>
        <item x="153"/>
        <item x="112"/>
        <item x="150"/>
        <item x="115"/>
        <item x="156"/>
        <item x="120"/>
        <item x="160"/>
        <item x="118"/>
        <item x="110"/>
        <item x="129"/>
        <item x="127"/>
        <item x="146"/>
        <item x="117"/>
        <item x="143"/>
        <item x="91"/>
        <item x="114"/>
        <item x="125"/>
        <item x="162"/>
        <item x="113"/>
        <item x="132"/>
        <item x="139"/>
        <item x="145"/>
        <item x="85"/>
        <item x="123"/>
        <item x="128"/>
        <item x="111"/>
        <item x="98"/>
        <item x="83"/>
        <item x="100"/>
        <item x="105"/>
        <item x="89"/>
        <item x="102"/>
        <item x="97"/>
        <item x="108"/>
        <item x="103"/>
        <item x="72"/>
        <item x="69"/>
        <item x="67"/>
        <item x="90"/>
        <item x="104"/>
        <item x="79"/>
        <item x="80"/>
        <item x="116"/>
        <item x="92"/>
        <item x="107"/>
        <item x="101"/>
        <item x="84"/>
        <item x="63"/>
        <item x="95"/>
        <item x="93"/>
        <item x="86"/>
        <item x="75"/>
        <item x="121"/>
        <item x="106"/>
        <item x="73"/>
        <item x="87"/>
        <item x="77"/>
        <item x="70"/>
        <item x="60"/>
        <item x="78"/>
        <item x="61"/>
        <item x="66"/>
        <item x="81"/>
        <item x="58"/>
        <item x="96"/>
        <item x="50"/>
        <item x="48"/>
        <item x="76"/>
        <item x="64"/>
        <item x="74"/>
        <item x="49"/>
        <item x="82"/>
        <item x="88"/>
        <item x="65"/>
        <item x="38"/>
        <item x="71"/>
        <item x="55"/>
        <item x="39"/>
        <item x="59"/>
        <item x="56"/>
        <item x="40"/>
        <item x="35"/>
        <item x="42"/>
        <item x="62"/>
        <item x="51"/>
        <item x="36"/>
        <item x="47"/>
        <item x="43"/>
        <item x="37"/>
        <item x="52"/>
        <item x="33"/>
        <item x="41"/>
        <item x="68"/>
        <item x="32"/>
        <item x="31"/>
        <item x="23"/>
        <item x="54"/>
        <item x="29"/>
        <item x="28"/>
        <item x="53"/>
        <item x="25"/>
        <item x="26"/>
        <item x="34"/>
        <item x="30"/>
        <item x="57"/>
        <item x="44"/>
        <item x="45"/>
        <item x="27"/>
        <item x="19"/>
        <item x="16"/>
        <item x="15"/>
        <item x="21"/>
        <item x="22"/>
        <item x="24"/>
        <item x="8"/>
        <item x="18"/>
        <item x="9"/>
        <item x="14"/>
        <item x="11"/>
        <item x="20"/>
        <item x="12"/>
        <item x="17"/>
        <item x="10"/>
        <item x="13"/>
        <item x="6"/>
        <item x="7"/>
        <item x="4"/>
        <item x="5"/>
        <item x="3"/>
        <item x="2"/>
        <item x="1"/>
        <item t="default"/>
      </items>
    </pivotField>
    <pivotField compact="0" numFmtId="2" showAll="0">
      <items count="471">
        <item x="0"/>
        <item x="318"/>
        <item x="347"/>
        <item x="46"/>
        <item x="307"/>
        <item x="371"/>
        <item x="374"/>
        <item x="375"/>
        <item x="376"/>
        <item x="281"/>
        <item x="379"/>
        <item x="301"/>
        <item x="381"/>
        <item x="384"/>
        <item x="386"/>
        <item x="311"/>
        <item x="295"/>
        <item x="389"/>
        <item x="313"/>
        <item x="353"/>
        <item x="390"/>
        <item x="354"/>
        <item x="396"/>
        <item x="398"/>
        <item x="262"/>
        <item x="402"/>
        <item x="403"/>
        <item x="404"/>
        <item x="405"/>
        <item x="406"/>
        <item x="408"/>
        <item x="358"/>
        <item x="409"/>
        <item x="410"/>
        <item x="411"/>
        <item x="412"/>
        <item x="360"/>
        <item x="253"/>
        <item x="235"/>
        <item x="339"/>
        <item x="226"/>
        <item x="415"/>
        <item x="416"/>
        <item x="418"/>
        <item x="279"/>
        <item x="420"/>
        <item x="350"/>
        <item x="423"/>
        <item x="383"/>
        <item x="425"/>
        <item x="364"/>
        <item x="426"/>
        <item x="140"/>
        <item x="428"/>
        <item x="429"/>
        <item x="241"/>
        <item x="388"/>
        <item x="344"/>
        <item x="343"/>
        <item x="430"/>
        <item x="368"/>
        <item x="431"/>
        <item x="149"/>
        <item x="432"/>
        <item x="269"/>
        <item x="304"/>
        <item x="393"/>
        <item x="433"/>
        <item x="265"/>
        <item x="397"/>
        <item x="378"/>
        <item x="400"/>
        <item x="401"/>
        <item x="436"/>
        <item x="122"/>
        <item x="437"/>
        <item x="438"/>
        <item x="345"/>
        <item x="219"/>
        <item x="137"/>
        <item x="200"/>
        <item x="439"/>
        <item x="232"/>
        <item x="440"/>
        <item x="259"/>
        <item x="135"/>
        <item x="407"/>
        <item x="382"/>
        <item x="23"/>
        <item x="209"/>
        <item x="441"/>
        <item x="218"/>
        <item x="109"/>
        <item x="99"/>
        <item x="94"/>
        <item x="138"/>
        <item x="387"/>
        <item x="216"/>
        <item x="273"/>
        <item x="348"/>
        <item x="290"/>
        <item x="442"/>
        <item x="48"/>
        <item x="292"/>
        <item x="126"/>
        <item x="50"/>
        <item x="67"/>
        <item x="223"/>
        <item x="69"/>
        <item x="63"/>
        <item x="159"/>
        <item x="352"/>
        <item x="221"/>
        <item x="296"/>
        <item x="72"/>
        <item x="91"/>
        <item x="319"/>
        <item x="85"/>
        <item x="356"/>
        <item x="302"/>
        <item x="192"/>
        <item x="83"/>
        <item x="443"/>
        <item x="196"/>
        <item x="141"/>
        <item x="166"/>
        <item x="49"/>
        <item x="207"/>
        <item x="359"/>
        <item x="210"/>
        <item x="236"/>
        <item x="155"/>
        <item x="29"/>
        <item x="208"/>
        <item x="38"/>
        <item x="417"/>
        <item x="444"/>
        <item x="445"/>
        <item x="419"/>
        <item x="251"/>
        <item x="446"/>
        <item x="136"/>
        <item x="399"/>
        <item x="25"/>
        <item x="421"/>
        <item x="380"/>
        <item x="31"/>
        <item x="130"/>
        <item x="170"/>
        <item x="422"/>
        <item x="119"/>
        <item x="244"/>
        <item x="134"/>
        <item x="35"/>
        <item x="333"/>
        <item x="148"/>
        <item x="179"/>
        <item x="424"/>
        <item x="28"/>
        <item x="60"/>
        <item x="217"/>
        <item x="164"/>
        <item x="309"/>
        <item x="263"/>
        <item x="286"/>
        <item x="26"/>
        <item x="237"/>
        <item x="147"/>
        <item x="234"/>
        <item x="58"/>
        <item x="310"/>
        <item x="39"/>
        <item x="427"/>
        <item x="204"/>
        <item x="372"/>
        <item x="385"/>
        <item x="89"/>
        <item x="33"/>
        <item x="98"/>
        <item x="448"/>
        <item x="61"/>
        <item x="79"/>
        <item x="245"/>
        <item x="80"/>
        <item x="194"/>
        <item x="357"/>
        <item x="172"/>
        <item x="16"/>
        <item x="177"/>
        <item x="193"/>
        <item x="32"/>
        <item x="112"/>
        <item x="256"/>
        <item x="36"/>
        <item x="19"/>
        <item x="110"/>
        <item x="449"/>
        <item x="239"/>
        <item x="40"/>
        <item x="124"/>
        <item x="334"/>
        <item x="75"/>
        <item x="250"/>
        <item x="293"/>
        <item x="338"/>
        <item x="90"/>
        <item x="361"/>
        <item x="282"/>
        <item x="142"/>
        <item x="97"/>
        <item x="73"/>
        <item x="247"/>
        <item x="243"/>
        <item x="184"/>
        <item x="342"/>
        <item x="37"/>
        <item x="308"/>
        <item x="115"/>
        <item x="84"/>
        <item x="337"/>
        <item x="284"/>
        <item x="42"/>
        <item x="335"/>
        <item x="30"/>
        <item x="15"/>
        <item x="287"/>
        <item x="450"/>
        <item x="131"/>
        <item x="274"/>
        <item x="133"/>
        <item x="100"/>
        <item x="64"/>
        <item x="8"/>
        <item x="355"/>
        <item x="254"/>
        <item x="120"/>
        <item x="66"/>
        <item x="118"/>
        <item x="70"/>
        <item x="43"/>
        <item x="268"/>
        <item x="246"/>
        <item x="392"/>
        <item x="280"/>
        <item x="92"/>
        <item x="151"/>
        <item x="394"/>
        <item x="21"/>
        <item x="195"/>
        <item x="86"/>
        <item x="144"/>
        <item x="299"/>
        <item x="77"/>
        <item x="395"/>
        <item x="231"/>
        <item x="105"/>
        <item x="240"/>
        <item x="202"/>
        <item x="117"/>
        <item x="113"/>
        <item x="222"/>
        <item x="41"/>
        <item x="434"/>
        <item x="340"/>
        <item x="102"/>
        <item x="370"/>
        <item x="288"/>
        <item x="27"/>
        <item x="201"/>
        <item x="213"/>
        <item x="214"/>
        <item x="189"/>
        <item x="152"/>
        <item x="289"/>
        <item x="9"/>
        <item x="227"/>
        <item x="114"/>
        <item x="267"/>
        <item x="168"/>
        <item x="298"/>
        <item x="366"/>
        <item x="103"/>
        <item x="111"/>
        <item x="93"/>
        <item x="278"/>
        <item x="127"/>
        <item x="212"/>
        <item x="22"/>
        <item x="129"/>
        <item x="34"/>
        <item x="6"/>
        <item x="322"/>
        <item x="181"/>
        <item x="95"/>
        <item x="78"/>
        <item x="315"/>
        <item x="87"/>
        <item x="187"/>
        <item x="157"/>
        <item x="158"/>
        <item x="264"/>
        <item x="329"/>
        <item x="182"/>
        <item x="104"/>
        <item x="11"/>
        <item x="225"/>
        <item x="242"/>
        <item x="312"/>
        <item x="165"/>
        <item x="185"/>
        <item x="76"/>
        <item x="47"/>
        <item x="186"/>
        <item x="108"/>
        <item x="176"/>
        <item x="125"/>
        <item x="270"/>
        <item x="163"/>
        <item x="81"/>
        <item x="224"/>
        <item x="377"/>
        <item x="1"/>
        <item x="317"/>
        <item x="3"/>
        <item x="51"/>
        <item x="4"/>
        <item x="198"/>
        <item x="101"/>
        <item x="277"/>
        <item x="18"/>
        <item x="55"/>
        <item x="233"/>
        <item x="123"/>
        <item x="167"/>
        <item x="65"/>
        <item x="188"/>
        <item x="203"/>
        <item x="14"/>
        <item x="171"/>
        <item x="7"/>
        <item x="74"/>
        <item x="451"/>
        <item x="190"/>
        <item x="260"/>
        <item x="2"/>
        <item x="238"/>
        <item x="132"/>
        <item x="341"/>
        <item x="297"/>
        <item x="52"/>
        <item x="183"/>
        <item x="331"/>
        <item x="320"/>
        <item x="56"/>
        <item x="453"/>
        <item x="59"/>
        <item x="206"/>
        <item x="255"/>
        <item x="128"/>
        <item x="174"/>
        <item x="10"/>
        <item x="107"/>
        <item x="363"/>
        <item x="283"/>
        <item x="314"/>
        <item x="139"/>
        <item x="154"/>
        <item x="20"/>
        <item x="153"/>
        <item x="12"/>
        <item x="5"/>
        <item x="161"/>
        <item x="220"/>
        <item x="169"/>
        <item x="143"/>
        <item x="150"/>
        <item x="197"/>
        <item x="191"/>
        <item x="24"/>
        <item x="325"/>
        <item x="82"/>
        <item x="230"/>
        <item x="252"/>
        <item x="106"/>
        <item x="362"/>
        <item x="248"/>
        <item x="413"/>
        <item x="44"/>
        <item x="96"/>
        <item x="146"/>
        <item x="199"/>
        <item x="178"/>
        <item x="454"/>
        <item x="116"/>
        <item x="215"/>
        <item x="369"/>
        <item x="266"/>
        <item x="324"/>
        <item x="13"/>
        <item x="367"/>
        <item x="145"/>
        <item x="257"/>
        <item x="71"/>
        <item x="17"/>
        <item x="305"/>
        <item x="88"/>
        <item x="62"/>
        <item x="53"/>
        <item x="294"/>
        <item x="156"/>
        <item x="54"/>
        <item x="414"/>
        <item x="249"/>
        <item x="180"/>
        <item x="303"/>
        <item x="330"/>
        <item x="332"/>
        <item x="258"/>
        <item x="160"/>
        <item x="173"/>
        <item x="276"/>
        <item x="228"/>
        <item x="211"/>
        <item x="300"/>
        <item x="175"/>
        <item x="45"/>
        <item x="229"/>
        <item x="121"/>
        <item x="328"/>
        <item x="349"/>
        <item x="447"/>
        <item x="346"/>
        <item x="275"/>
        <item x="323"/>
        <item x="271"/>
        <item x="316"/>
        <item x="162"/>
        <item x="326"/>
        <item x="261"/>
        <item x="68"/>
        <item x="57"/>
        <item x="306"/>
        <item x="351"/>
        <item x="327"/>
        <item x="336"/>
        <item x="321"/>
        <item x="435"/>
        <item x="205"/>
        <item x="391"/>
        <item x="373"/>
        <item x="291"/>
        <item x="272"/>
        <item x="285"/>
        <item x="458"/>
        <item x="459"/>
        <item x="365"/>
        <item x="460"/>
        <item x="452"/>
        <item x="461"/>
        <item x="456"/>
        <item x="462"/>
        <item x="457"/>
        <item x="463"/>
        <item x="455"/>
        <item x="464"/>
        <item x="465"/>
        <item x="466"/>
        <item x="467"/>
        <item x="468"/>
        <item x="469"/>
        <item t="default"/>
      </items>
    </pivotField>
    <pivotField compact="0" numFmtId="10" showAll="0">
      <items count="440">
        <item x="0"/>
        <item x="318"/>
        <item x="429"/>
        <item x="435"/>
        <item x="436"/>
        <item x="365"/>
        <item x="434"/>
        <item x="46"/>
        <item x="347"/>
        <item x="431"/>
        <item x="383"/>
        <item x="371"/>
        <item x="425"/>
        <item x="393"/>
        <item x="331"/>
        <item x="398"/>
        <item x="400"/>
        <item x="413"/>
        <item x="304"/>
        <item x="430"/>
        <item x="423"/>
        <item x="432"/>
        <item x="353"/>
        <item x="374"/>
        <item x="316"/>
        <item x="401"/>
        <item x="258"/>
        <item x="415"/>
        <item x="426"/>
        <item x="427"/>
        <item x="399"/>
        <item x="380"/>
        <item x="350"/>
        <item x="375"/>
        <item x="120"/>
        <item x="376"/>
        <item x="169"/>
        <item x="407"/>
        <item x="397"/>
        <item x="402"/>
        <item x="409"/>
        <item x="396"/>
        <item x="339"/>
        <item x="414"/>
        <item x="362"/>
        <item x="405"/>
        <item x="421"/>
        <item x="345"/>
        <item x="382"/>
        <item x="370"/>
        <item x="437"/>
        <item x="305"/>
        <item x="348"/>
        <item x="420"/>
        <item x="360"/>
        <item x="381"/>
        <item x="343"/>
        <item x="361"/>
        <item x="386"/>
        <item x="359"/>
        <item x="395"/>
        <item x="67"/>
        <item x="146"/>
        <item x="416"/>
        <item x="392"/>
        <item x="412"/>
        <item x="428"/>
        <item x="387"/>
        <item x="406"/>
        <item x="358"/>
        <item x="246"/>
        <item x="354"/>
        <item x="417"/>
        <item x="408"/>
        <item x="357"/>
        <item x="81"/>
        <item x="74"/>
        <item x="391"/>
        <item x="385"/>
        <item x="341"/>
        <item x="222"/>
        <item x="72"/>
        <item x="394"/>
        <item x="367"/>
        <item x="333"/>
        <item x="342"/>
        <item x="356"/>
        <item x="368"/>
        <item x="384"/>
        <item x="390"/>
        <item x="35"/>
        <item x="344"/>
        <item x="369"/>
        <item x="337"/>
        <item x="43"/>
        <item x="422"/>
        <item x="195"/>
        <item x="263"/>
        <item x="379"/>
        <item x="204"/>
        <item x="30"/>
        <item x="179"/>
        <item x="410"/>
        <item x="322"/>
        <item x="286"/>
        <item x="388"/>
        <item x="38"/>
        <item x="404"/>
        <item x="324"/>
        <item x="349"/>
        <item x="99"/>
        <item x="251"/>
        <item x="335"/>
        <item x="377"/>
        <item x="378"/>
        <item x="85"/>
        <item x="373"/>
        <item x="424"/>
        <item x="200"/>
        <item x="283"/>
        <item x="352"/>
        <item x="63"/>
        <item x="269"/>
        <item x="58"/>
        <item x="41"/>
        <item x="203"/>
        <item x="355"/>
        <item x="328"/>
        <item x="44"/>
        <item x="274"/>
        <item x="115"/>
        <item x="411"/>
        <item x="212"/>
        <item x="293"/>
        <item x="167"/>
        <item x="141"/>
        <item x="346"/>
        <item x="61"/>
        <item x="98"/>
        <item x="231"/>
        <item x="389"/>
        <item x="281"/>
        <item x="192"/>
        <item x="418"/>
        <item x="320"/>
        <item x="144"/>
        <item x="168"/>
        <item x="50"/>
        <item x="87"/>
        <item x="239"/>
        <item x="419"/>
        <item x="244"/>
        <item x="69"/>
        <item x="23"/>
        <item x="250"/>
        <item x="338"/>
        <item x="325"/>
        <item x="334"/>
        <item x="315"/>
        <item x="296"/>
        <item x="19"/>
        <item x="78"/>
        <item x="97"/>
        <item x="366"/>
        <item x="129"/>
        <item x="118"/>
        <item x="372"/>
        <item x="265"/>
        <item x="153"/>
        <item x="319"/>
        <item x="126"/>
        <item x="201"/>
        <item x="194"/>
        <item x="113"/>
        <item x="247"/>
        <item x="260"/>
        <item x="32"/>
        <item x="307"/>
        <item x="132"/>
        <item x="135"/>
        <item x="254"/>
        <item x="232"/>
        <item x="302"/>
        <item x="336"/>
        <item x="363"/>
        <item x="326"/>
        <item x="224"/>
        <item x="188"/>
        <item x="308"/>
        <item x="298"/>
        <item x="86"/>
        <item x="329"/>
        <item x="207"/>
        <item x="314"/>
        <item x="29"/>
        <item x="56"/>
        <item x="95"/>
        <item x="143"/>
        <item x="299"/>
        <item x="94"/>
        <item x="280"/>
        <item x="209"/>
        <item x="190"/>
        <item x="25"/>
        <item x="140"/>
        <item x="321"/>
        <item x="49"/>
        <item x="180"/>
        <item x="134"/>
        <item x="40"/>
        <item x="253"/>
        <item x="219"/>
        <item x="364"/>
        <item x="238"/>
        <item x="230"/>
        <item x="149"/>
        <item x="8"/>
        <item x="262"/>
        <item x="110"/>
        <item x="290"/>
        <item x="216"/>
        <item x="310"/>
        <item x="6"/>
        <item x="105"/>
        <item x="53"/>
        <item x="256"/>
        <item x="48"/>
        <item x="4"/>
        <item x="130"/>
        <item x="164"/>
        <item x="39"/>
        <item x="1"/>
        <item x="287"/>
        <item x="125"/>
        <item x="54"/>
        <item x="119"/>
        <item x="215"/>
        <item x="139"/>
        <item x="123"/>
        <item x="124"/>
        <item x="16"/>
        <item x="177"/>
        <item x="27"/>
        <item x="300"/>
        <item x="303"/>
        <item x="82"/>
        <item x="117"/>
        <item x="301"/>
        <item x="161"/>
        <item x="138"/>
        <item x="223"/>
        <item x="297"/>
        <item x="83"/>
        <item x="255"/>
        <item x="5"/>
        <item x="31"/>
        <item x="183"/>
        <item x="20"/>
        <item x="165"/>
        <item x="196"/>
        <item x="80"/>
        <item x="65"/>
        <item x="182"/>
        <item x="257"/>
        <item x="166"/>
        <item x="127"/>
        <item x="317"/>
        <item x="112"/>
        <item x="26"/>
        <item x="228"/>
        <item x="84"/>
        <item x="243"/>
        <item x="221"/>
        <item x="142"/>
        <item x="109"/>
        <item x="270"/>
        <item x="33"/>
        <item x="242"/>
        <item x="55"/>
        <item x="122"/>
        <item x="218"/>
        <item x="276"/>
        <item x="225"/>
        <item x="60"/>
        <item x="36"/>
        <item x="7"/>
        <item x="193"/>
        <item x="155"/>
        <item x="160"/>
        <item x="79"/>
        <item x="236"/>
        <item x="163"/>
        <item x="64"/>
        <item x="42"/>
        <item x="172"/>
        <item x="291"/>
        <item x="235"/>
        <item x="52"/>
        <item x="158"/>
        <item x="70"/>
        <item x="73"/>
        <item x="104"/>
        <item x="136"/>
        <item x="294"/>
        <item x="28"/>
        <item x="237"/>
        <item x="159"/>
        <item x="170"/>
        <item x="171"/>
        <item x="108"/>
        <item x="273"/>
        <item x="351"/>
        <item x="3"/>
        <item x="213"/>
        <item x="17"/>
        <item x="22"/>
        <item x="173"/>
        <item x="18"/>
        <item x="10"/>
        <item x="9"/>
        <item x="92"/>
        <item x="15"/>
        <item x="285"/>
        <item x="156"/>
        <item x="330"/>
        <item x="234"/>
        <item x="75"/>
        <item x="14"/>
        <item x="189"/>
        <item x="24"/>
        <item x="202"/>
        <item x="100"/>
        <item x="66"/>
        <item x="312"/>
        <item x="148"/>
        <item x="21"/>
        <item x="284"/>
        <item x="57"/>
        <item x="154"/>
        <item x="174"/>
        <item x="150"/>
        <item x="176"/>
        <item x="152"/>
        <item x="145"/>
        <item x="51"/>
        <item x="102"/>
        <item x="214"/>
        <item x="2"/>
        <item x="116"/>
        <item x="187"/>
        <item x="147"/>
        <item x="114"/>
        <item x="37"/>
        <item x="11"/>
        <item x="13"/>
        <item x="245"/>
        <item x="227"/>
        <item x="131"/>
        <item x="107"/>
        <item x="151"/>
        <item x="267"/>
        <item x="133"/>
        <item x="68"/>
        <item x="59"/>
        <item x="71"/>
        <item x="12"/>
        <item x="332"/>
        <item x="47"/>
        <item x="309"/>
        <item x="323"/>
        <item x="268"/>
        <item x="306"/>
        <item x="62"/>
        <item x="103"/>
        <item x="289"/>
        <item x="184"/>
        <item x="277"/>
        <item x="91"/>
        <item x="137"/>
        <item x="111"/>
        <item x="175"/>
        <item x="271"/>
        <item x="93"/>
        <item x="327"/>
        <item x="185"/>
        <item x="240"/>
        <item x="264"/>
        <item x="259"/>
        <item x="292"/>
        <item x="186"/>
        <item x="278"/>
        <item x="199"/>
        <item x="208"/>
        <item x="266"/>
        <item x="252"/>
        <item x="90"/>
        <item x="162"/>
        <item x="157"/>
        <item x="178"/>
        <item x="261"/>
        <item x="96"/>
        <item x="106"/>
        <item x="272"/>
        <item x="181"/>
        <item x="34"/>
        <item x="128"/>
        <item x="45"/>
        <item x="229"/>
        <item x="288"/>
        <item x="197"/>
        <item x="191"/>
        <item x="205"/>
        <item x="220"/>
        <item x="121"/>
        <item x="233"/>
        <item x="275"/>
        <item x="89"/>
        <item x="206"/>
        <item x="77"/>
        <item x="249"/>
        <item x="88"/>
        <item x="211"/>
        <item x="311"/>
        <item x="248"/>
        <item x="433"/>
        <item x="101"/>
        <item x="76"/>
        <item x="241"/>
        <item x="282"/>
        <item x="198"/>
        <item x="226"/>
        <item x="340"/>
        <item x="279"/>
        <item x="313"/>
        <item x="403"/>
        <item x="295"/>
        <item x="217"/>
        <item x="210"/>
        <item x="438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展示量" fld="6" baseField="0" baseItem="0"/>
    <dataField name="求和项:整体实收总消耗" fld="9" baseField="0" baseItem="0"/>
    <dataField name="求和项:点击量" fld="7" baseField="0" baseItem="0"/>
  </dataFields>
  <formats count="8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fieldPosition="0">
        <references count="1">
          <reference field="4294967294" count="1">
            <x v="1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fieldPosition="0">
        <references count="1">
          <reference field="4294967294" count="1">
            <x v="2"/>
          </reference>
        </references>
      </pivotArea>
    </format>
    <format dxfId="5">
      <pivotArea dataOnly="0" labelOnly="1" fieldPosition="0">
        <references count="1">
          <reference field="4294967294" count="1">
            <x v="1"/>
          </reference>
        </references>
      </pivotArea>
    </format>
    <format dxfId="6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源数据" displayName="源数据" ref="A1:AA552" totalsRowShown="0">
  <autoFilter xmlns:etc="http://www.wps.cn/officeDocument/2017/etCustomData" ref="A1:AA552" etc:filterBottomFollowUsedRange="0"/>
  <tableColumns count="27">
    <tableColumn id="1" name="日期" dataDxfId="8"/>
    <tableColumn id="2" name="账号id" dataDxfId="9"/>
    <tableColumn id="3" name="账号名称" dataDxfId="10"/>
    <tableColumn id="4" name="客户id" dataDxfId="11"/>
    <tableColumn id="5" name="客户名称" dataDxfId="12"/>
    <tableColumn id="6" name="品牌名称" dataDxfId="13"/>
    <tableColumn id="7" name="展示量" dataDxfId="14"/>
    <tableColumn id="8" name="点击量" dataDxfId="15"/>
    <tableColumn id="9" name="三连投放总消耗(毫分)" dataDxfId="16"/>
    <tableColumn id="10" name="整体实收总消耗" dataDxfId="17"/>
    <tableColumn id="11" name="点击率" dataDxfId="18"/>
    <tableColumn id="12" name="千次展示价格" dataDxfId="19"/>
    <tableColumn id="13" name="单次点击价格" dataDxfId="20"/>
    <tableColumn id="14" name="应用内累计付费金额" dataDxfId="21"/>
    <tableColumn id="15" name="激活后24小时付费金额" dataDxfId="22"/>
    <tableColumn id="16" name="激活后24小时变现金额" dataDxfId="23"/>
    <tableColumn id="17" name="激活后24小时变现ROI" dataDxfId="24"/>
    <tableColumn id="18" name="激活24小时内混合变现金额" dataDxfId="25"/>
    <tableColumn id="19" name="激活24小时内混合变现ROI" dataDxfId="26"/>
    <tableColumn id="20" name="播放量" dataDxfId="27"/>
    <tableColumn id="21" name="播放成本" dataDxfId="28"/>
    <tableColumn id="22" name="播放率" dataDxfId="29"/>
    <tableColumn id="23" name="账号月重复计数" dataDxfId="30">
      <calculatedColumnFormula>COUNTIFS(源数据[日期],源数据[[#This Row],[日期]],源数据[账号id],源数据[[#This Row],[账号id]])</calculatedColumnFormula>
    </tableColumn>
    <tableColumn id="24" name="重算 CTR" dataDxfId="31">
      <calculatedColumnFormula>IFERROR(源数据[[#This Row],[点击量]]/源数据[[#This Row],[展示量]],"")</calculatedColumnFormula>
    </tableColumn>
    <tableColumn id="25" name="重算播放率" dataDxfId="32">
      <calculatedColumnFormula>IFERROR(源数据[[#This Row],[播放量]]/源数据[[#This Row],[展示量]],"")</calculatedColumnFormula>
    </tableColumn>
    <tableColumn id="26" name="重算播放成本" dataDxfId="33">
      <calculatedColumnFormula>IFERROR(源数据[[#This Row],[三连投放总消耗(毫分)]]/源数据[[#This Row],[播放量]],"")</calculatedColumnFormula>
    </tableColumn>
    <tableColumn id="27" name="源播放成本反向审计" dataDxfId="34">
      <calculatedColumnFormula>IF(ABS(源数据[[#This Row],[播放成本]]-IFERROR(源数据[[#This Row],[播放量]]/源数据[[#This Row],[三连投放总消耗(毫分)]],0))&lt;0.000001,"反向口径匹配","需检查")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workbookViewId="0">
      <selection activeCell="L9" sqref="L9"/>
    </sheetView>
  </sheetViews>
  <sheetFormatPr defaultColWidth="9" defaultRowHeight="13.8" outlineLevelCol="3"/>
  <cols>
    <col min="1" max="1" width="18" customWidth="1"/>
    <col min="2" max="2" width="62" customWidth="1"/>
    <col min="3" max="4" width="4" customWidth="1"/>
  </cols>
  <sheetData>
    <row r="1" spans="1:4">
      <c r="A1" s="29" t="s">
        <v>0</v>
      </c>
      <c r="B1" s="29"/>
      <c r="C1" s="29"/>
      <c r="D1" s="29"/>
    </row>
    <row r="2" ht="36" customHeight="1" spans="1:4">
      <c r="A2" s="30"/>
      <c r="B2" s="30"/>
      <c r="C2" s="30"/>
      <c r="D2" s="30"/>
    </row>
    <row r="3" ht="26" customHeight="1" spans="1:4">
      <c r="A3" s="31" t="s">
        <v>1</v>
      </c>
      <c r="B3" s="32" t="s">
        <v>2</v>
      </c>
      <c r="C3" s="33"/>
      <c r="D3" s="34"/>
    </row>
    <row r="4" ht="26" customHeight="1" spans="1:4">
      <c r="A4" s="35" t="s">
        <v>3</v>
      </c>
      <c r="B4" s="32" t="s">
        <v>4</v>
      </c>
      <c r="C4" s="33"/>
      <c r="D4" s="34"/>
    </row>
    <row r="5" ht="26" customHeight="1" spans="1:4">
      <c r="A5" s="35" t="s">
        <v>5</v>
      </c>
      <c r="B5" s="32" t="s">
        <v>6</v>
      </c>
      <c r="C5" s="33"/>
      <c r="D5" s="34"/>
    </row>
    <row r="6" ht="26" customHeight="1" spans="1:4">
      <c r="A6" s="35" t="s">
        <v>7</v>
      </c>
      <c r="B6" s="32" t="s">
        <v>8</v>
      </c>
      <c r="C6" s="33"/>
      <c r="D6" s="34"/>
    </row>
    <row r="7" ht="26" customHeight="1" spans="1:4">
      <c r="A7" s="35" t="s">
        <v>9</v>
      </c>
      <c r="B7" s="32" t="s">
        <v>10</v>
      </c>
      <c r="C7" s="33"/>
      <c r="D7" s="34"/>
    </row>
    <row r="8" ht="26" customHeight="1" spans="1:4">
      <c r="A8" s="35" t="s">
        <v>11</v>
      </c>
      <c r="B8" s="32" t="s">
        <v>12</v>
      </c>
      <c r="C8" s="33"/>
      <c r="D8" s="34"/>
    </row>
    <row r="9" ht="26" customHeight="1" spans="1:4">
      <c r="A9" s="35" t="s">
        <v>13</v>
      </c>
      <c r="B9" s="32" t="s">
        <v>14</v>
      </c>
      <c r="C9" s="33"/>
      <c r="D9" s="34"/>
    </row>
    <row r="10" ht="26" customHeight="1" spans="1:4">
      <c r="A10" s="35" t="s">
        <v>15</v>
      </c>
      <c r="B10" s="32" t="s">
        <v>16</v>
      </c>
      <c r="C10" s="33"/>
      <c r="D10" s="34"/>
    </row>
    <row r="11" ht="15.6" spans="1:4">
      <c r="A11" s="36"/>
      <c r="B11" s="36"/>
      <c r="C11" s="36"/>
      <c r="D11" s="36"/>
    </row>
    <row r="12" ht="16.2" spans="1:4">
      <c r="A12" s="37"/>
      <c r="B12" s="37"/>
      <c r="C12" s="37"/>
      <c r="D12" s="37"/>
    </row>
    <row r="13" ht="34" customHeight="1" spans="1:4">
      <c r="A13" s="37"/>
      <c r="B13" s="37"/>
      <c r="C13" s="37"/>
      <c r="D13" s="37"/>
    </row>
    <row r="14" ht="34" customHeight="1" spans="1:4">
      <c r="A14" s="37"/>
      <c r="B14" s="37"/>
      <c r="C14" s="37"/>
      <c r="D14" s="37"/>
    </row>
    <row r="15" ht="34" customHeight="1" spans="1:4">
      <c r="A15" s="37"/>
      <c r="B15" s="37"/>
      <c r="C15" s="37"/>
      <c r="D15" s="37"/>
    </row>
    <row r="16" ht="34" customHeight="1" spans="1:4">
      <c r="A16" s="37"/>
      <c r="B16" s="37"/>
      <c r="C16" s="37"/>
      <c r="D16" s="37"/>
    </row>
    <row r="17" ht="34" customHeight="1" spans="1:4">
      <c r="A17" s="37"/>
      <c r="B17" s="37"/>
      <c r="C17" s="37"/>
      <c r="D17" s="37"/>
    </row>
  </sheetData>
  <mergeCells count="15">
    <mergeCell ref="B3:D3"/>
    <mergeCell ref="B4:D4"/>
    <mergeCell ref="B5:D5"/>
    <mergeCell ref="B6:D6"/>
    <mergeCell ref="B7:D7"/>
    <mergeCell ref="B8:D8"/>
    <mergeCell ref="B9:D9"/>
    <mergeCell ref="B10:D10"/>
    <mergeCell ref="A12:D12"/>
    <mergeCell ref="A13:D13"/>
    <mergeCell ref="A14:D14"/>
    <mergeCell ref="A15:D15"/>
    <mergeCell ref="A16:D16"/>
    <mergeCell ref="A17:D17"/>
    <mergeCell ref="A1: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selection activeCell="H8" sqref="H8"/>
    </sheetView>
  </sheetViews>
  <sheetFormatPr defaultColWidth="9" defaultRowHeight="13.8" outlineLevelCol="3"/>
  <cols>
    <col min="1" max="1" width="31" customWidth="1"/>
    <col min="2" max="2" width="14" customWidth="1"/>
    <col min="3" max="3" width="35" customWidth="1"/>
    <col min="4" max="4" width="34" customWidth="1"/>
  </cols>
  <sheetData>
    <row r="1" ht="24" customHeight="1" spans="1:4">
      <c r="A1" s="19" t="s">
        <v>17</v>
      </c>
      <c r="B1" s="19" t="s">
        <v>18</v>
      </c>
      <c r="C1" s="19" t="s">
        <v>19</v>
      </c>
      <c r="D1" s="19" t="s">
        <v>20</v>
      </c>
    </row>
    <row r="2" ht="15" spans="1:4">
      <c r="A2" s="20" t="s">
        <v>21</v>
      </c>
      <c r="B2" s="21" t="s">
        <v>22</v>
      </c>
      <c r="C2" s="21" t="s">
        <v>23</v>
      </c>
      <c r="D2" s="22" t="s">
        <v>24</v>
      </c>
    </row>
    <row r="3" ht="15" spans="1:4">
      <c r="A3" s="23" t="s">
        <v>25</v>
      </c>
      <c r="B3" s="24" t="s">
        <v>26</v>
      </c>
      <c r="C3" s="24" t="s">
        <v>27</v>
      </c>
      <c r="D3" s="25" t="s">
        <v>28</v>
      </c>
    </row>
    <row r="4" ht="15" spans="1:4">
      <c r="A4" s="23" t="s">
        <v>29</v>
      </c>
      <c r="B4" s="24" t="s">
        <v>26</v>
      </c>
      <c r="C4" s="24" t="s">
        <v>30</v>
      </c>
      <c r="D4" s="25" t="s">
        <v>31</v>
      </c>
    </row>
    <row r="5" ht="15" spans="1:4">
      <c r="A5" s="23" t="s">
        <v>32</v>
      </c>
      <c r="B5" s="24" t="s">
        <v>26</v>
      </c>
      <c r="C5" s="24" t="s">
        <v>33</v>
      </c>
      <c r="D5" s="25" t="s">
        <v>34</v>
      </c>
    </row>
    <row r="6" ht="15" spans="1:4">
      <c r="A6" s="23" t="s">
        <v>35</v>
      </c>
      <c r="B6" s="24" t="s">
        <v>26</v>
      </c>
      <c r="C6" s="24" t="s">
        <v>36</v>
      </c>
      <c r="D6" s="25" t="s">
        <v>34</v>
      </c>
    </row>
    <row r="7" ht="15" spans="1:4">
      <c r="A7" s="23" t="s">
        <v>37</v>
      </c>
      <c r="B7" s="24" t="s">
        <v>38</v>
      </c>
      <c r="C7" s="24" t="s">
        <v>39</v>
      </c>
      <c r="D7" s="25" t="s">
        <v>40</v>
      </c>
    </row>
    <row r="8" ht="15" spans="1:4">
      <c r="A8" s="23" t="s">
        <v>41</v>
      </c>
      <c r="B8" s="24" t="s">
        <v>42</v>
      </c>
      <c r="C8" s="24" t="s">
        <v>43</v>
      </c>
      <c r="D8" s="25" t="s">
        <v>44</v>
      </c>
    </row>
    <row r="9" ht="15" spans="1:4">
      <c r="A9" s="23" t="s">
        <v>45</v>
      </c>
      <c r="B9" s="24" t="s">
        <v>42</v>
      </c>
      <c r="C9" s="24" t="s">
        <v>43</v>
      </c>
      <c r="D9" s="25" t="s">
        <v>46</v>
      </c>
    </row>
    <row r="10" ht="15" spans="1:4">
      <c r="A10" s="23" t="s">
        <v>47</v>
      </c>
      <c r="B10" s="24" t="s">
        <v>42</v>
      </c>
      <c r="C10" s="24" t="s">
        <v>48</v>
      </c>
      <c r="D10" s="25" t="s">
        <v>49</v>
      </c>
    </row>
    <row r="11" ht="15" spans="1:4">
      <c r="A11" s="23" t="s">
        <v>50</v>
      </c>
      <c r="B11" s="24" t="s">
        <v>42</v>
      </c>
      <c r="C11" s="24" t="s">
        <v>43</v>
      </c>
      <c r="D11" s="25" t="s">
        <v>51</v>
      </c>
    </row>
    <row r="12" ht="15" spans="1:4">
      <c r="A12" s="23" t="s">
        <v>52</v>
      </c>
      <c r="B12" s="24" t="s">
        <v>53</v>
      </c>
      <c r="C12" s="24" t="s">
        <v>54</v>
      </c>
      <c r="D12" s="25" t="s">
        <v>55</v>
      </c>
    </row>
    <row r="13" ht="15" spans="1:4">
      <c r="A13" s="23" t="s">
        <v>56</v>
      </c>
      <c r="B13" s="24" t="s">
        <v>53</v>
      </c>
      <c r="C13" s="24" t="s">
        <v>57</v>
      </c>
      <c r="D13" s="25" t="s">
        <v>58</v>
      </c>
    </row>
    <row r="14" ht="15" spans="1:4">
      <c r="A14" s="23" t="s">
        <v>59</v>
      </c>
      <c r="B14" s="24" t="s">
        <v>53</v>
      </c>
      <c r="C14" s="24" t="s">
        <v>60</v>
      </c>
      <c r="D14" s="25" t="s">
        <v>61</v>
      </c>
    </row>
    <row r="15" ht="15" spans="1:4">
      <c r="A15" s="23" t="s">
        <v>62</v>
      </c>
      <c r="B15" s="24" t="s">
        <v>42</v>
      </c>
      <c r="C15" s="24" t="s">
        <v>43</v>
      </c>
      <c r="D15" s="25" t="s">
        <v>63</v>
      </c>
    </row>
    <row r="16" ht="15" spans="1:4">
      <c r="A16" s="23" t="s">
        <v>64</v>
      </c>
      <c r="B16" s="24" t="s">
        <v>42</v>
      </c>
      <c r="C16" s="24" t="s">
        <v>43</v>
      </c>
      <c r="D16" s="25" t="s">
        <v>65</v>
      </c>
    </row>
    <row r="17" ht="15" spans="1:4">
      <c r="A17" s="23" t="s">
        <v>66</v>
      </c>
      <c r="B17" s="24" t="s">
        <v>42</v>
      </c>
      <c r="C17" s="24" t="s">
        <v>43</v>
      </c>
      <c r="D17" s="25" t="s">
        <v>67</v>
      </c>
    </row>
    <row r="18" ht="15" spans="1:4">
      <c r="A18" s="23" t="s">
        <v>68</v>
      </c>
      <c r="B18" s="24" t="s">
        <v>53</v>
      </c>
      <c r="C18" s="24" t="s">
        <v>69</v>
      </c>
      <c r="D18" s="25" t="s">
        <v>70</v>
      </c>
    </row>
    <row r="19" ht="15" spans="1:4">
      <c r="A19" s="23" t="s">
        <v>71</v>
      </c>
      <c r="B19" s="24" t="s">
        <v>42</v>
      </c>
      <c r="C19" s="24" t="s">
        <v>43</v>
      </c>
      <c r="D19" s="25" t="s">
        <v>72</v>
      </c>
    </row>
    <row r="20" ht="15" spans="1:4">
      <c r="A20" s="23" t="s">
        <v>73</v>
      </c>
      <c r="B20" s="24" t="s">
        <v>53</v>
      </c>
      <c r="C20" s="24" t="s">
        <v>74</v>
      </c>
      <c r="D20" s="25" t="s">
        <v>75</v>
      </c>
    </row>
    <row r="21" ht="15" spans="1:4">
      <c r="A21" s="23" t="s">
        <v>76</v>
      </c>
      <c r="B21" s="24" t="s">
        <v>42</v>
      </c>
      <c r="C21" s="24" t="s">
        <v>43</v>
      </c>
      <c r="D21" s="25" t="s">
        <v>77</v>
      </c>
    </row>
    <row r="22" ht="15" spans="1:4">
      <c r="A22" s="23" t="s">
        <v>78</v>
      </c>
      <c r="B22" s="24" t="s">
        <v>53</v>
      </c>
      <c r="C22" s="24" t="s">
        <v>79</v>
      </c>
      <c r="D22" s="25" t="s">
        <v>80</v>
      </c>
    </row>
    <row r="23" ht="15" spans="1:4">
      <c r="A23" s="26" t="s">
        <v>81</v>
      </c>
      <c r="B23" s="27" t="s">
        <v>53</v>
      </c>
      <c r="C23" s="27" t="s">
        <v>82</v>
      </c>
      <c r="D23" s="28" t="s">
        <v>83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52"/>
  <sheetViews>
    <sheetView showGridLines="0" tabSelected="1" topLeftCell="R1" workbookViewId="0">
      <pane ySplit="1" topLeftCell="A2" activePane="bottomLeft" state="frozen"/>
      <selection/>
      <selection pane="bottomLeft" activeCell="AB13" sqref="AB13"/>
    </sheetView>
  </sheetViews>
  <sheetFormatPr defaultColWidth="9" defaultRowHeight="15.6"/>
  <cols>
    <col min="1" max="1" width="12.9" style="3" customWidth="1"/>
    <col min="2" max="2" width="13" style="3" customWidth="1"/>
    <col min="3" max="3" width="26" style="3" customWidth="1"/>
    <col min="4" max="4" width="13" style="3" customWidth="1"/>
    <col min="5" max="5" width="16" style="3" customWidth="1"/>
    <col min="6" max="6" width="14" style="3" customWidth="1"/>
    <col min="7" max="8" width="15" style="3" customWidth="1"/>
    <col min="9" max="9" width="20" style="3" customWidth="1"/>
    <col min="10" max="22" width="15" style="3" customWidth="1"/>
    <col min="23" max="23" width="17.3" customWidth="1"/>
    <col min="24" max="24" width="16.4" customWidth="1"/>
    <col min="25" max="25" width="15.3" customWidth="1"/>
    <col min="26" max="26" width="17" customWidth="1"/>
    <col min="27" max="27" width="19.9" customWidth="1"/>
  </cols>
  <sheetData>
    <row r="1" ht="42" customHeight="1" spans="1:27">
      <c r="A1" s="4" t="s">
        <v>21</v>
      </c>
      <c r="B1" s="4" t="s">
        <v>25</v>
      </c>
      <c r="C1" s="4" t="s">
        <v>29</v>
      </c>
      <c r="D1" s="4" t="s">
        <v>32</v>
      </c>
      <c r="E1" s="4" t="s">
        <v>35</v>
      </c>
      <c r="F1" s="4" t="s">
        <v>37</v>
      </c>
      <c r="G1" s="4" t="s">
        <v>41</v>
      </c>
      <c r="H1" s="4" t="s">
        <v>45</v>
      </c>
      <c r="I1" s="4" t="s">
        <v>47</v>
      </c>
      <c r="J1" s="4" t="s">
        <v>50</v>
      </c>
      <c r="K1" s="4" t="s">
        <v>52</v>
      </c>
      <c r="L1" s="4" t="s">
        <v>56</v>
      </c>
      <c r="M1" s="4" t="s">
        <v>59</v>
      </c>
      <c r="N1" s="4" t="s">
        <v>62</v>
      </c>
      <c r="O1" s="4" t="s">
        <v>64</v>
      </c>
      <c r="P1" s="4" t="s">
        <v>66</v>
      </c>
      <c r="Q1" s="4" t="s">
        <v>68</v>
      </c>
      <c r="R1" s="4" t="s">
        <v>71</v>
      </c>
      <c r="S1" s="4" t="s">
        <v>73</v>
      </c>
      <c r="T1" s="4" t="s">
        <v>76</v>
      </c>
      <c r="U1" s="4" t="s">
        <v>78</v>
      </c>
      <c r="V1" s="4" t="s">
        <v>81</v>
      </c>
      <c r="W1" s="5" t="s">
        <v>84</v>
      </c>
      <c r="X1" s="6" t="s">
        <v>85</v>
      </c>
      <c r="Y1" s="6" t="s">
        <v>86</v>
      </c>
      <c r="Z1" s="6" t="s">
        <v>87</v>
      </c>
      <c r="AA1" s="6" t="s">
        <v>88</v>
      </c>
    </row>
    <row r="2" s="2" customFormat="1" spans="1:27">
      <c r="A2" s="7">
        <v>46204</v>
      </c>
      <c r="B2" s="8" t="s">
        <v>89</v>
      </c>
      <c r="C2" s="8" t="s">
        <v>90</v>
      </c>
      <c r="D2" s="8" t="s">
        <v>91</v>
      </c>
      <c r="E2" s="8" t="s">
        <v>92</v>
      </c>
      <c r="F2" s="8" t="s">
        <v>93</v>
      </c>
      <c r="G2" s="9">
        <v>3859694</v>
      </c>
      <c r="H2" s="9">
        <v>175555</v>
      </c>
      <c r="I2" s="10">
        <v>11382.8634</v>
      </c>
      <c r="J2" s="11">
        <v>11382.75</v>
      </c>
      <c r="K2" s="12">
        <f t="shared" ref="K2:K65" si="0">IF(G2=0,0,H2/G2)</f>
        <v>0.045484175688539</v>
      </c>
      <c r="L2" s="13">
        <f t="shared" ref="L2:L65" si="1">IF(G2=0,0,I2/G2*1000)</f>
        <v>2.94916213565117</v>
      </c>
      <c r="M2" s="13">
        <f t="shared" ref="M2:M65" si="2">IF(H2=0,0,I2/H2)</f>
        <v>0.0648393005041155</v>
      </c>
      <c r="N2" s="11">
        <v>0</v>
      </c>
      <c r="O2" s="11">
        <v>0</v>
      </c>
      <c r="P2" s="11">
        <v>11520.18</v>
      </c>
      <c r="Q2" s="13">
        <f t="shared" ref="Q2:Q65" si="3">IF(I2=0,0,P2/I2)</f>
        <v>1.01206344969404</v>
      </c>
      <c r="R2" s="11">
        <v>11520.16</v>
      </c>
      <c r="S2" s="13">
        <f t="shared" ref="S2:S65" si="4">IF(I2=0,0,R2/I2)</f>
        <v>1.01206169266689</v>
      </c>
      <c r="T2" s="9">
        <v>0</v>
      </c>
      <c r="U2" s="13">
        <f t="shared" ref="U2:U65" si="5">IF(I2=0,0,T2/I2)</f>
        <v>0</v>
      </c>
      <c r="V2" s="12">
        <f t="shared" ref="V2:V65" si="6">IF(G2=0,0,T2/G2)</f>
        <v>0</v>
      </c>
      <c r="W2" s="14">
        <f>COUNTIFS(源数据[日期],源数据[[#This Row],[日期]],源数据[账号id],源数据[[#This Row],[账号id]])</f>
        <v>1</v>
      </c>
      <c r="X2" s="15">
        <f>IFERROR(源数据[[#This Row],[点击量]]/源数据[[#This Row],[展示量]],"")</f>
        <v>0.045484175688539</v>
      </c>
      <c r="Y2" s="16">
        <f>IFERROR(源数据[[#This Row],[播放量]]/源数据[[#This Row],[展示量]],"")</f>
        <v>0</v>
      </c>
      <c r="Z2" s="16" t="str">
        <f>IFERROR(源数据[[#This Row],[三连投放总消耗(毫分)]]/源数据[[#This Row],[播放量]],"")</f>
        <v/>
      </c>
      <c r="AA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" s="2" customFormat="1" spans="1:27">
      <c r="A3" s="7">
        <v>46204</v>
      </c>
      <c r="B3" s="8" t="s">
        <v>94</v>
      </c>
      <c r="C3" s="8" t="s">
        <v>95</v>
      </c>
      <c r="D3" s="8" t="s">
        <v>91</v>
      </c>
      <c r="E3" s="8" t="s">
        <v>92</v>
      </c>
      <c r="F3" s="8" t="s">
        <v>96</v>
      </c>
      <c r="G3" s="9">
        <v>1056097</v>
      </c>
      <c r="H3" s="9">
        <v>17774</v>
      </c>
      <c r="I3" s="10">
        <v>9338.76402</v>
      </c>
      <c r="J3" s="11">
        <v>9338.66</v>
      </c>
      <c r="K3" s="12">
        <f t="shared" si="0"/>
        <v>0.0168298934662252</v>
      </c>
      <c r="L3" s="13">
        <f t="shared" si="1"/>
        <v>8.84271427719234</v>
      </c>
      <c r="M3" s="13">
        <f t="shared" si="2"/>
        <v>0.525417127264544</v>
      </c>
      <c r="N3" s="11">
        <v>0</v>
      </c>
      <c r="O3" s="11">
        <v>0</v>
      </c>
      <c r="P3" s="11">
        <v>9598.36</v>
      </c>
      <c r="Q3" s="13">
        <f t="shared" si="3"/>
        <v>1.02779768066139</v>
      </c>
      <c r="R3" s="11">
        <v>9598.36</v>
      </c>
      <c r="S3" s="13">
        <f t="shared" si="4"/>
        <v>1.02779768066139</v>
      </c>
      <c r="T3" s="9">
        <v>210168</v>
      </c>
      <c r="U3" s="13">
        <f t="shared" si="5"/>
        <v>22.5049053118702</v>
      </c>
      <c r="V3" s="12">
        <f t="shared" si="6"/>
        <v>0.199004447508136</v>
      </c>
      <c r="W3" s="17">
        <f>COUNTIFS(源数据[日期],源数据[[#This Row],[日期]],源数据[账号id],源数据[[#This Row],[账号id]])</f>
        <v>1</v>
      </c>
      <c r="X3" s="15">
        <f>IFERROR(源数据[[#This Row],[点击量]]/源数据[[#This Row],[展示量]],"")</f>
        <v>0.0168298934662252</v>
      </c>
      <c r="Y3" s="16">
        <f>IFERROR(源数据[[#This Row],[播放量]]/源数据[[#This Row],[展示量]],"")</f>
        <v>0.199004447508136</v>
      </c>
      <c r="Z3" s="16">
        <f>IFERROR(源数据[[#This Row],[三连投放总消耗(毫分)]]/源数据[[#This Row],[播放量]],"")</f>
        <v>0.0444347570515017</v>
      </c>
      <c r="AA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" s="2" customFormat="1" spans="1:27">
      <c r="A4" s="7">
        <v>46204</v>
      </c>
      <c r="B4" s="8" t="s">
        <v>97</v>
      </c>
      <c r="C4" s="8" t="s">
        <v>98</v>
      </c>
      <c r="D4" s="8" t="s">
        <v>91</v>
      </c>
      <c r="E4" s="8" t="s">
        <v>92</v>
      </c>
      <c r="F4" s="8" t="s">
        <v>96</v>
      </c>
      <c r="G4" s="9">
        <v>489979</v>
      </c>
      <c r="H4" s="9">
        <v>13837</v>
      </c>
      <c r="I4" s="10">
        <v>5128.31276</v>
      </c>
      <c r="J4" s="11">
        <v>5128.2</v>
      </c>
      <c r="K4" s="12">
        <f t="shared" si="0"/>
        <v>0.0282399857953096</v>
      </c>
      <c r="L4" s="13">
        <f t="shared" si="1"/>
        <v>10.4663929678619</v>
      </c>
      <c r="M4" s="13">
        <f t="shared" si="2"/>
        <v>0.370623166871432</v>
      </c>
      <c r="N4" s="11">
        <v>0</v>
      </c>
      <c r="O4" s="11">
        <v>0</v>
      </c>
      <c r="P4" s="11">
        <v>5338.46</v>
      </c>
      <c r="Q4" s="13">
        <f t="shared" si="3"/>
        <v>1.04097785174865</v>
      </c>
      <c r="R4" s="11">
        <v>5338.46</v>
      </c>
      <c r="S4" s="13">
        <f t="shared" si="4"/>
        <v>1.04097785174865</v>
      </c>
      <c r="T4" s="9">
        <v>119959</v>
      </c>
      <c r="U4" s="13">
        <f t="shared" si="5"/>
        <v>23.3915140542247</v>
      </c>
      <c r="V4" s="12">
        <f t="shared" si="6"/>
        <v>0.24482477820478</v>
      </c>
      <c r="W4" s="17">
        <f>COUNTIFS(源数据[日期],源数据[[#This Row],[日期]],源数据[账号id],源数据[[#This Row],[账号id]])</f>
        <v>1</v>
      </c>
      <c r="X4" s="15">
        <f>IFERROR(源数据[[#This Row],[点击量]]/源数据[[#This Row],[展示量]],"")</f>
        <v>0.0282399857953096</v>
      </c>
      <c r="Y4" s="16">
        <f>IFERROR(源数据[[#This Row],[播放量]]/源数据[[#This Row],[展示量]],"")</f>
        <v>0.24482477820478</v>
      </c>
      <c r="Z4" s="16">
        <f>IFERROR(源数据[[#This Row],[三连投放总消耗(毫分)]]/源数据[[#This Row],[播放量]],"")</f>
        <v>0.0427505461032519</v>
      </c>
      <c r="AA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" s="2" customFormat="1" spans="1:27">
      <c r="A5" s="7">
        <v>46204</v>
      </c>
      <c r="B5" s="8" t="s">
        <v>99</v>
      </c>
      <c r="C5" s="8" t="s">
        <v>100</v>
      </c>
      <c r="D5" s="8" t="s">
        <v>91</v>
      </c>
      <c r="E5" s="8" t="s">
        <v>92</v>
      </c>
      <c r="F5" s="8" t="s">
        <v>101</v>
      </c>
      <c r="G5" s="9">
        <v>1734736</v>
      </c>
      <c r="H5" s="9">
        <v>49311</v>
      </c>
      <c r="I5" s="10">
        <v>4083.21579</v>
      </c>
      <c r="J5" s="11">
        <v>4083.1</v>
      </c>
      <c r="K5" s="12">
        <f t="shared" si="0"/>
        <v>0.028425650934782</v>
      </c>
      <c r="L5" s="13">
        <f t="shared" si="1"/>
        <v>2.35379665263187</v>
      </c>
      <c r="M5" s="13">
        <f t="shared" si="2"/>
        <v>0.0828053738516761</v>
      </c>
      <c r="N5" s="11">
        <v>0</v>
      </c>
      <c r="O5" s="11">
        <v>0</v>
      </c>
      <c r="P5" s="11">
        <v>4286.88</v>
      </c>
      <c r="Q5" s="13">
        <f t="shared" si="3"/>
        <v>1.04987838519306</v>
      </c>
      <c r="R5" s="11">
        <v>4286.88</v>
      </c>
      <c r="S5" s="13">
        <f t="shared" si="4"/>
        <v>1.04987838519306</v>
      </c>
      <c r="T5" s="9">
        <v>0</v>
      </c>
      <c r="U5" s="13">
        <f t="shared" si="5"/>
        <v>0</v>
      </c>
      <c r="V5" s="12">
        <f t="shared" si="6"/>
        <v>0</v>
      </c>
      <c r="W5" s="17">
        <f>COUNTIFS(源数据[日期],源数据[[#This Row],[日期]],源数据[账号id],源数据[[#This Row],[账号id]])</f>
        <v>1</v>
      </c>
      <c r="X5" s="15">
        <f>IFERROR(源数据[[#This Row],[点击量]]/源数据[[#This Row],[展示量]],"")</f>
        <v>0.028425650934782</v>
      </c>
      <c r="Y5" s="16">
        <f>IFERROR(源数据[[#This Row],[播放量]]/源数据[[#This Row],[展示量]],"")</f>
        <v>0</v>
      </c>
      <c r="Z5" s="16" t="str">
        <f>IFERROR(源数据[[#This Row],[三连投放总消耗(毫分)]]/源数据[[#This Row],[播放量]],"")</f>
        <v/>
      </c>
      <c r="AA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6" s="2" customFormat="1" spans="1:27">
      <c r="A6" s="7">
        <v>46204</v>
      </c>
      <c r="B6" s="8" t="s">
        <v>102</v>
      </c>
      <c r="C6" s="8" t="s">
        <v>103</v>
      </c>
      <c r="D6" s="8" t="s">
        <v>91</v>
      </c>
      <c r="E6" s="8" t="s">
        <v>92</v>
      </c>
      <c r="F6" s="8" t="s">
        <v>96</v>
      </c>
      <c r="G6" s="9">
        <v>398563</v>
      </c>
      <c r="H6" s="9">
        <v>4561</v>
      </c>
      <c r="I6" s="10">
        <v>4053.70836</v>
      </c>
      <c r="J6" s="11">
        <v>4053.58</v>
      </c>
      <c r="K6" s="12">
        <f t="shared" si="0"/>
        <v>0.0114436111731395</v>
      </c>
      <c r="L6" s="13">
        <f t="shared" si="1"/>
        <v>10.1708095332482</v>
      </c>
      <c r="M6" s="13">
        <f t="shared" si="2"/>
        <v>0.888776224512168</v>
      </c>
      <c r="N6" s="11">
        <v>0</v>
      </c>
      <c r="O6" s="11">
        <v>0</v>
      </c>
      <c r="P6" s="11">
        <v>4075.7</v>
      </c>
      <c r="Q6" s="13">
        <f t="shared" si="3"/>
        <v>1.00542506713532</v>
      </c>
      <c r="R6" s="11">
        <v>4075.7</v>
      </c>
      <c r="S6" s="13">
        <f t="shared" si="4"/>
        <v>1.00542506713532</v>
      </c>
      <c r="T6" s="9">
        <v>91345</v>
      </c>
      <c r="U6" s="13">
        <f t="shared" si="5"/>
        <v>22.5336881412949</v>
      </c>
      <c r="V6" s="12">
        <f t="shared" si="6"/>
        <v>0.229185850166724</v>
      </c>
      <c r="W6" s="17">
        <f>COUNTIFS(源数据[日期],源数据[[#This Row],[日期]],源数据[账号id],源数据[[#This Row],[账号id]])</f>
        <v>1</v>
      </c>
      <c r="X6" s="15">
        <f>IFERROR(源数据[[#This Row],[点击量]]/源数据[[#This Row],[展示量]],"")</f>
        <v>0.0114436111731395</v>
      </c>
      <c r="Y6" s="16">
        <f>IFERROR(源数据[[#This Row],[播放量]]/源数据[[#This Row],[展示量]],"")</f>
        <v>0.229185850166724</v>
      </c>
      <c r="Z6" s="16">
        <f>IFERROR(源数据[[#This Row],[三连投放总消耗(毫分)]]/源数据[[#This Row],[播放量]],"")</f>
        <v>0.0443779994526247</v>
      </c>
      <c r="AA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7" s="2" customFormat="1" spans="1:27">
      <c r="A7" s="7">
        <v>46204</v>
      </c>
      <c r="B7" s="8" t="s">
        <v>104</v>
      </c>
      <c r="C7" s="8" t="s">
        <v>105</v>
      </c>
      <c r="D7" s="8" t="s">
        <v>91</v>
      </c>
      <c r="E7" s="8" t="s">
        <v>92</v>
      </c>
      <c r="F7" s="8" t="s">
        <v>101</v>
      </c>
      <c r="G7" s="9">
        <v>1826273</v>
      </c>
      <c r="H7" s="9">
        <v>52402</v>
      </c>
      <c r="I7" s="10">
        <v>4046.29215</v>
      </c>
      <c r="J7" s="11">
        <v>4046.06</v>
      </c>
      <c r="K7" s="12">
        <f t="shared" si="0"/>
        <v>0.0286934100213933</v>
      </c>
      <c r="L7" s="13">
        <f t="shared" si="1"/>
        <v>2.21560092603899</v>
      </c>
      <c r="M7" s="13">
        <f t="shared" si="2"/>
        <v>0.0772163686500515</v>
      </c>
      <c r="N7" s="11">
        <v>0</v>
      </c>
      <c r="O7" s="11">
        <v>0</v>
      </c>
      <c r="P7" s="11">
        <v>4111.24</v>
      </c>
      <c r="Q7" s="13">
        <f t="shared" si="3"/>
        <v>1.01605120134492</v>
      </c>
      <c r="R7" s="11">
        <v>4111.24</v>
      </c>
      <c r="S7" s="13">
        <f t="shared" si="4"/>
        <v>1.01605120134492</v>
      </c>
      <c r="T7" s="9">
        <v>0</v>
      </c>
      <c r="U7" s="13">
        <f t="shared" si="5"/>
        <v>0</v>
      </c>
      <c r="V7" s="12">
        <f t="shared" si="6"/>
        <v>0</v>
      </c>
      <c r="W7" s="17">
        <f>COUNTIFS(源数据[日期],源数据[[#This Row],[日期]],源数据[账号id],源数据[[#This Row],[账号id]])</f>
        <v>1</v>
      </c>
      <c r="X7" s="15">
        <f>IFERROR(源数据[[#This Row],[点击量]]/源数据[[#This Row],[展示量]],"")</f>
        <v>0.0286934100213933</v>
      </c>
      <c r="Y7" s="16">
        <f>IFERROR(源数据[[#This Row],[播放量]]/源数据[[#This Row],[展示量]],"")</f>
        <v>0</v>
      </c>
      <c r="Z7" s="16" t="str">
        <f>IFERROR(源数据[[#This Row],[三连投放总消耗(毫分)]]/源数据[[#This Row],[播放量]],"")</f>
        <v/>
      </c>
      <c r="AA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8" s="2" customFormat="1" spans="1:27">
      <c r="A8" s="7">
        <v>46204</v>
      </c>
      <c r="B8" s="8" t="s">
        <v>106</v>
      </c>
      <c r="C8" s="8" t="s">
        <v>107</v>
      </c>
      <c r="D8" s="8" t="s">
        <v>91</v>
      </c>
      <c r="E8" s="8" t="s">
        <v>92</v>
      </c>
      <c r="F8" s="8" t="s">
        <v>96</v>
      </c>
      <c r="G8" s="9">
        <v>428357</v>
      </c>
      <c r="H8" s="9">
        <v>6407</v>
      </c>
      <c r="I8" s="10">
        <v>3749.73149</v>
      </c>
      <c r="J8" s="11">
        <v>3749.6</v>
      </c>
      <c r="K8" s="12">
        <f t="shared" si="0"/>
        <v>0.0149571502274972</v>
      </c>
      <c r="L8" s="13">
        <f t="shared" si="1"/>
        <v>8.75375327122003</v>
      </c>
      <c r="M8" s="13">
        <f t="shared" si="2"/>
        <v>0.585255422194475</v>
      </c>
      <c r="N8" s="11">
        <v>0</v>
      </c>
      <c r="O8" s="11">
        <v>0</v>
      </c>
      <c r="P8" s="11">
        <v>3843.75</v>
      </c>
      <c r="Q8" s="13">
        <f t="shared" si="3"/>
        <v>1.02507339798883</v>
      </c>
      <c r="R8" s="11">
        <v>3843.75</v>
      </c>
      <c r="S8" s="13">
        <f t="shared" si="4"/>
        <v>1.02507339798883</v>
      </c>
      <c r="T8" s="9">
        <v>84538</v>
      </c>
      <c r="U8" s="13">
        <f t="shared" si="5"/>
        <v>22.5450809545832</v>
      </c>
      <c r="V8" s="12">
        <f t="shared" si="6"/>
        <v>0.197354076156103</v>
      </c>
      <c r="W8" s="17">
        <f>COUNTIFS(源数据[日期],源数据[[#This Row],[日期]],源数据[账号id],源数据[[#This Row],[账号id]])</f>
        <v>1</v>
      </c>
      <c r="X8" s="15">
        <f>IFERROR(源数据[[#This Row],[点击量]]/源数据[[#This Row],[展示量]],"")</f>
        <v>0.0149571502274972</v>
      </c>
      <c r="Y8" s="16">
        <f>IFERROR(源数据[[#This Row],[播放量]]/源数据[[#This Row],[展示量]],"")</f>
        <v>0.197354076156103</v>
      </c>
      <c r="Z8" s="16">
        <f>IFERROR(源数据[[#This Row],[三连投放总消耗(毫分)]]/源数据[[#This Row],[播放量]],"")</f>
        <v>0.0443555737064989</v>
      </c>
      <c r="AA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9" s="2" customFormat="1" spans="1:27">
      <c r="A9" s="7">
        <v>46204</v>
      </c>
      <c r="B9" s="8" t="s">
        <v>108</v>
      </c>
      <c r="C9" s="8" t="s">
        <v>109</v>
      </c>
      <c r="D9" s="8" t="s">
        <v>91</v>
      </c>
      <c r="E9" s="8" t="s">
        <v>92</v>
      </c>
      <c r="F9" s="8" t="s">
        <v>110</v>
      </c>
      <c r="G9" s="9">
        <v>432422</v>
      </c>
      <c r="H9" s="9">
        <v>12099</v>
      </c>
      <c r="I9" s="10">
        <v>3520.89819</v>
      </c>
      <c r="J9" s="11">
        <v>3520.77</v>
      </c>
      <c r="K9" s="12">
        <f t="shared" si="0"/>
        <v>0.0279796125081518</v>
      </c>
      <c r="L9" s="13">
        <f t="shared" si="1"/>
        <v>8.14227349672311</v>
      </c>
      <c r="M9" s="13">
        <f t="shared" si="2"/>
        <v>0.29100737168361</v>
      </c>
      <c r="N9" s="11">
        <v>910.97</v>
      </c>
      <c r="O9" s="11">
        <v>910.97</v>
      </c>
      <c r="P9" s="11">
        <v>2406.2</v>
      </c>
      <c r="Q9" s="13">
        <f t="shared" si="3"/>
        <v>0.683405162590061</v>
      </c>
      <c r="R9" s="11">
        <v>3317.17</v>
      </c>
      <c r="S9" s="13">
        <f t="shared" si="4"/>
        <v>0.942137437947333</v>
      </c>
      <c r="T9" s="9">
        <v>89883</v>
      </c>
      <c r="U9" s="13">
        <f t="shared" si="5"/>
        <v>25.5284291534712</v>
      </c>
      <c r="V9" s="12">
        <f t="shared" si="6"/>
        <v>0.207859452109282</v>
      </c>
      <c r="W9" s="17">
        <f>COUNTIFS(源数据[日期],源数据[[#This Row],[日期]],源数据[账号id],源数据[[#This Row],[账号id]])</f>
        <v>1</v>
      </c>
      <c r="X9" s="15">
        <f>IFERROR(源数据[[#This Row],[点击量]]/源数据[[#This Row],[展示量]],"")</f>
        <v>0.0279796125081518</v>
      </c>
      <c r="Y9" s="16">
        <f>IFERROR(源数据[[#This Row],[播放量]]/源数据[[#This Row],[展示量]],"")</f>
        <v>0.207859452109282</v>
      </c>
      <c r="Z9" s="16">
        <f>IFERROR(源数据[[#This Row],[三连投放总消耗(毫分)]]/源数据[[#This Row],[播放量]],"")</f>
        <v>0.0391720146190047</v>
      </c>
      <c r="AA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0" s="2" customFormat="1" spans="1:27">
      <c r="A10" s="7">
        <v>46204</v>
      </c>
      <c r="B10" s="8" t="s">
        <v>111</v>
      </c>
      <c r="C10" s="8" t="s">
        <v>112</v>
      </c>
      <c r="D10" s="8" t="s">
        <v>91</v>
      </c>
      <c r="E10" s="8" t="s">
        <v>92</v>
      </c>
      <c r="F10" s="8" t="s">
        <v>96</v>
      </c>
      <c r="G10" s="9">
        <v>370273</v>
      </c>
      <c r="H10" s="9">
        <v>4471</v>
      </c>
      <c r="I10" s="10">
        <v>3378.69299</v>
      </c>
      <c r="J10" s="11">
        <v>3378.56</v>
      </c>
      <c r="K10" s="12">
        <f t="shared" si="0"/>
        <v>0.012074874484502</v>
      </c>
      <c r="L10" s="13">
        <f t="shared" si="1"/>
        <v>9.12487000132335</v>
      </c>
      <c r="M10" s="13">
        <f t="shared" si="2"/>
        <v>0.75569067099083</v>
      </c>
      <c r="N10" s="11">
        <v>0</v>
      </c>
      <c r="O10" s="11">
        <v>0</v>
      </c>
      <c r="P10" s="11">
        <v>3523.38</v>
      </c>
      <c r="Q10" s="13">
        <f t="shared" si="3"/>
        <v>1.04282336703223</v>
      </c>
      <c r="R10" s="11">
        <v>3523.38</v>
      </c>
      <c r="S10" s="13">
        <f t="shared" si="4"/>
        <v>1.04282336703223</v>
      </c>
      <c r="T10" s="9">
        <v>71984</v>
      </c>
      <c r="U10" s="13">
        <f t="shared" si="5"/>
        <v>21.3052799449529</v>
      </c>
      <c r="V10" s="12">
        <f t="shared" si="6"/>
        <v>0.194407909839497</v>
      </c>
      <c r="W10" s="17">
        <f>COUNTIFS(源数据[日期],源数据[[#This Row],[日期]],源数据[账号id],源数据[[#This Row],[账号id]])</f>
        <v>1</v>
      </c>
      <c r="X10" s="15">
        <f>IFERROR(源数据[[#This Row],[点击量]]/源数据[[#This Row],[展示量]],"")</f>
        <v>0.012074874484502</v>
      </c>
      <c r="Y10" s="16">
        <f>IFERROR(源数据[[#This Row],[播放量]]/源数据[[#This Row],[展示量]],"")</f>
        <v>0.194407909839497</v>
      </c>
      <c r="Z10" s="16">
        <f>IFERROR(源数据[[#This Row],[三连投放总消耗(毫分)]]/源数据[[#This Row],[播放量]],"")</f>
        <v>0.0469367219104245</v>
      </c>
      <c r="AA1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1" s="2" customFormat="1" spans="1:27">
      <c r="A11" s="7">
        <v>46204</v>
      </c>
      <c r="B11" s="8" t="s">
        <v>113</v>
      </c>
      <c r="C11" s="8" t="s">
        <v>114</v>
      </c>
      <c r="D11" s="8" t="s">
        <v>91</v>
      </c>
      <c r="E11" s="8" t="s">
        <v>92</v>
      </c>
      <c r="F11" s="8" t="s">
        <v>115</v>
      </c>
      <c r="G11" s="9">
        <v>335083</v>
      </c>
      <c r="H11" s="9">
        <v>8548</v>
      </c>
      <c r="I11" s="10">
        <v>3151.1739</v>
      </c>
      <c r="J11" s="11">
        <v>3151.07</v>
      </c>
      <c r="K11" s="12">
        <f t="shared" si="0"/>
        <v>0.0255100974982318</v>
      </c>
      <c r="L11" s="13">
        <f t="shared" si="1"/>
        <v>9.40415926800226</v>
      </c>
      <c r="M11" s="13">
        <f t="shared" si="2"/>
        <v>0.368644583528311</v>
      </c>
      <c r="N11" s="11">
        <v>0</v>
      </c>
      <c r="O11" s="11">
        <v>0</v>
      </c>
      <c r="P11" s="11">
        <v>3216.64</v>
      </c>
      <c r="Q11" s="13">
        <f t="shared" si="3"/>
        <v>1.02077514668422</v>
      </c>
      <c r="R11" s="11">
        <v>3216.64</v>
      </c>
      <c r="S11" s="13">
        <f t="shared" si="4"/>
        <v>1.02077514668422</v>
      </c>
      <c r="T11" s="9">
        <v>72906</v>
      </c>
      <c r="U11" s="13">
        <f t="shared" si="5"/>
        <v>23.1361398366494</v>
      </c>
      <c r="V11" s="12">
        <f t="shared" si="6"/>
        <v>0.217575943870623</v>
      </c>
      <c r="W11" s="17">
        <f>COUNTIFS(源数据[日期],源数据[[#This Row],[日期]],源数据[账号id],源数据[[#This Row],[账号id]])</f>
        <v>1</v>
      </c>
      <c r="X11" s="15">
        <f>IFERROR(源数据[[#This Row],[点击量]]/源数据[[#This Row],[展示量]],"")</f>
        <v>0.0255100974982318</v>
      </c>
      <c r="Y11" s="16">
        <f>IFERROR(源数据[[#This Row],[播放量]]/源数据[[#This Row],[展示量]],"")</f>
        <v>0.217575943870623</v>
      </c>
      <c r="Z11" s="16">
        <f>IFERROR(源数据[[#This Row],[三连投放总消耗(毫分)]]/源数据[[#This Row],[播放量]],"")</f>
        <v>0.0432224220228788</v>
      </c>
      <c r="AA1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2" s="2" customFormat="1" spans="1:27">
      <c r="A12" s="7">
        <v>46204</v>
      </c>
      <c r="B12" s="8" t="s">
        <v>116</v>
      </c>
      <c r="C12" s="8" t="s">
        <v>117</v>
      </c>
      <c r="D12" s="8" t="s">
        <v>91</v>
      </c>
      <c r="E12" s="8" t="s">
        <v>92</v>
      </c>
      <c r="F12" s="8" t="s">
        <v>115</v>
      </c>
      <c r="G12" s="9">
        <v>941833</v>
      </c>
      <c r="H12" s="9">
        <v>44997</v>
      </c>
      <c r="I12" s="10">
        <v>2821.76099</v>
      </c>
      <c r="J12" s="11">
        <v>2821.66</v>
      </c>
      <c r="K12" s="12">
        <f t="shared" si="0"/>
        <v>0.0477759857639306</v>
      </c>
      <c r="L12" s="13">
        <f t="shared" si="1"/>
        <v>2.99603113290785</v>
      </c>
      <c r="M12" s="13">
        <f t="shared" si="2"/>
        <v>0.0627099804431407</v>
      </c>
      <c r="N12" s="11">
        <v>0</v>
      </c>
      <c r="O12" s="11">
        <v>0</v>
      </c>
      <c r="P12" s="11">
        <v>2876.44</v>
      </c>
      <c r="Q12" s="13">
        <f t="shared" si="3"/>
        <v>1.0193776192221</v>
      </c>
      <c r="R12" s="11">
        <v>2876.44</v>
      </c>
      <c r="S12" s="13">
        <f t="shared" si="4"/>
        <v>1.0193776192221</v>
      </c>
      <c r="T12" s="9">
        <v>0</v>
      </c>
      <c r="U12" s="13">
        <f t="shared" si="5"/>
        <v>0</v>
      </c>
      <c r="V12" s="12">
        <f t="shared" si="6"/>
        <v>0</v>
      </c>
      <c r="W12" s="17">
        <f>COUNTIFS(源数据[日期],源数据[[#This Row],[日期]],源数据[账号id],源数据[[#This Row],[账号id]])</f>
        <v>1</v>
      </c>
      <c r="X12" s="15">
        <f>IFERROR(源数据[[#This Row],[点击量]]/源数据[[#This Row],[展示量]],"")</f>
        <v>0.0477759857639306</v>
      </c>
      <c r="Y12" s="16">
        <f>IFERROR(源数据[[#This Row],[播放量]]/源数据[[#This Row],[展示量]],"")</f>
        <v>0</v>
      </c>
      <c r="Z12" s="16" t="str">
        <f>IFERROR(源数据[[#This Row],[三连投放总消耗(毫分)]]/源数据[[#This Row],[播放量]],"")</f>
        <v/>
      </c>
      <c r="AA1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3" s="2" customFormat="1" spans="1:27">
      <c r="A13" s="7">
        <v>46204</v>
      </c>
      <c r="B13" s="8" t="s">
        <v>118</v>
      </c>
      <c r="C13" s="8" t="s">
        <v>119</v>
      </c>
      <c r="D13" s="8" t="s">
        <v>91</v>
      </c>
      <c r="E13" s="8" t="s">
        <v>92</v>
      </c>
      <c r="F13" s="8" t="s">
        <v>96</v>
      </c>
      <c r="G13" s="9">
        <v>263566</v>
      </c>
      <c r="H13" s="9">
        <v>3495</v>
      </c>
      <c r="I13" s="10">
        <v>2714.27644</v>
      </c>
      <c r="J13" s="11">
        <v>2714.15</v>
      </c>
      <c r="K13" s="12">
        <f t="shared" si="0"/>
        <v>0.0132604357162912</v>
      </c>
      <c r="L13" s="13">
        <f t="shared" si="1"/>
        <v>10.2982798995318</v>
      </c>
      <c r="M13" s="13">
        <f t="shared" si="2"/>
        <v>0.776617007153076</v>
      </c>
      <c r="N13" s="11">
        <v>0</v>
      </c>
      <c r="O13" s="11">
        <v>0</v>
      </c>
      <c r="P13" s="11">
        <v>2891</v>
      </c>
      <c r="Q13" s="13">
        <f t="shared" si="3"/>
        <v>1.06510890246684</v>
      </c>
      <c r="R13" s="11">
        <v>2891</v>
      </c>
      <c r="S13" s="13">
        <f t="shared" si="4"/>
        <v>1.06510890246684</v>
      </c>
      <c r="T13" s="9">
        <v>50651</v>
      </c>
      <c r="U13" s="13">
        <f t="shared" si="5"/>
        <v>18.6609584983908</v>
      </c>
      <c r="V13" s="12">
        <f t="shared" si="6"/>
        <v>0.192175773809975</v>
      </c>
      <c r="W13" s="17">
        <f>COUNTIFS(源数据[日期],源数据[[#This Row],[日期]],源数据[账号id],源数据[[#This Row],[账号id]])</f>
        <v>1</v>
      </c>
      <c r="X13" s="15">
        <f>IFERROR(源数据[[#This Row],[点击量]]/源数据[[#This Row],[展示量]],"")</f>
        <v>0.0132604357162912</v>
      </c>
      <c r="Y13" s="16">
        <f>IFERROR(源数据[[#This Row],[播放量]]/源数据[[#This Row],[展示量]],"")</f>
        <v>0.192175773809975</v>
      </c>
      <c r="Z13" s="16">
        <f>IFERROR(源数据[[#This Row],[三连投放总消耗(毫分)]]/源数据[[#This Row],[播放量]],"")</f>
        <v>0.053587815442933</v>
      </c>
      <c r="AA1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4" s="2" customFormat="1" spans="1:27">
      <c r="A14" s="7">
        <v>46204</v>
      </c>
      <c r="B14" s="8" t="s">
        <v>120</v>
      </c>
      <c r="C14" s="8" t="s">
        <v>121</v>
      </c>
      <c r="D14" s="8" t="s">
        <v>91</v>
      </c>
      <c r="E14" s="8" t="s">
        <v>92</v>
      </c>
      <c r="F14" s="8" t="s">
        <v>93</v>
      </c>
      <c r="G14" s="9">
        <v>232456</v>
      </c>
      <c r="H14" s="9">
        <v>9660</v>
      </c>
      <c r="I14" s="10">
        <v>2639.99718</v>
      </c>
      <c r="J14" s="11">
        <v>2639.9</v>
      </c>
      <c r="K14" s="12">
        <f t="shared" si="0"/>
        <v>0.0415562515056613</v>
      </c>
      <c r="L14" s="13">
        <f t="shared" si="1"/>
        <v>11.3569758577967</v>
      </c>
      <c r="M14" s="13">
        <f t="shared" si="2"/>
        <v>0.273291633540373</v>
      </c>
      <c r="N14" s="11">
        <v>0</v>
      </c>
      <c r="O14" s="11">
        <v>0</v>
      </c>
      <c r="P14" s="11">
        <v>2754.66</v>
      </c>
      <c r="Q14" s="13">
        <f t="shared" si="3"/>
        <v>1.04343293275791</v>
      </c>
      <c r="R14" s="11">
        <v>2754.66</v>
      </c>
      <c r="S14" s="13">
        <f t="shared" si="4"/>
        <v>1.04343293275791</v>
      </c>
      <c r="T14" s="9">
        <v>54048</v>
      </c>
      <c r="U14" s="13">
        <f t="shared" si="5"/>
        <v>20.4727491413457</v>
      </c>
      <c r="V14" s="12">
        <f t="shared" si="6"/>
        <v>0.232508517740992</v>
      </c>
      <c r="W14" s="17">
        <f>COUNTIFS(源数据[日期],源数据[[#This Row],[日期]],源数据[账号id],源数据[[#This Row],[账号id]])</f>
        <v>1</v>
      </c>
      <c r="X14" s="15">
        <f>IFERROR(源数据[[#This Row],[点击量]]/源数据[[#This Row],[展示量]],"")</f>
        <v>0.0415562515056613</v>
      </c>
      <c r="Y14" s="16">
        <f>IFERROR(源数据[[#This Row],[播放量]]/源数据[[#This Row],[展示量]],"")</f>
        <v>0.232508517740992</v>
      </c>
      <c r="Z14" s="16">
        <f>IFERROR(源数据[[#This Row],[三连投放总消耗(毫分)]]/源数据[[#This Row],[播放量]],"")</f>
        <v>0.0488454185168739</v>
      </c>
      <c r="AA1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5" s="2" customFormat="1" spans="1:27">
      <c r="A15" s="7">
        <v>46204</v>
      </c>
      <c r="B15" s="8" t="s">
        <v>122</v>
      </c>
      <c r="C15" s="8" t="s">
        <v>123</v>
      </c>
      <c r="D15" s="8" t="s">
        <v>91</v>
      </c>
      <c r="E15" s="8" t="s">
        <v>92</v>
      </c>
      <c r="F15" s="8" t="s">
        <v>96</v>
      </c>
      <c r="G15" s="9">
        <v>277398</v>
      </c>
      <c r="H15" s="9">
        <v>7300</v>
      </c>
      <c r="I15" s="10">
        <v>2611.22919</v>
      </c>
      <c r="J15" s="11">
        <v>2611.1</v>
      </c>
      <c r="K15" s="12">
        <f t="shared" si="0"/>
        <v>0.0263159792067715</v>
      </c>
      <c r="L15" s="13">
        <f t="shared" si="1"/>
        <v>9.41329494084312</v>
      </c>
      <c r="M15" s="13">
        <f t="shared" si="2"/>
        <v>0.357702628767123</v>
      </c>
      <c r="N15" s="11">
        <v>0</v>
      </c>
      <c r="O15" s="11">
        <v>0</v>
      </c>
      <c r="P15" s="11">
        <v>2762.13</v>
      </c>
      <c r="Q15" s="13">
        <f t="shared" si="3"/>
        <v>1.0577891862491</v>
      </c>
      <c r="R15" s="11">
        <v>2762.13</v>
      </c>
      <c r="S15" s="13">
        <f t="shared" si="4"/>
        <v>1.0577891862491</v>
      </c>
      <c r="T15" s="9">
        <v>64470</v>
      </c>
      <c r="U15" s="13">
        <f t="shared" si="5"/>
        <v>24.689521795672</v>
      </c>
      <c r="V15" s="12">
        <f t="shared" si="6"/>
        <v>0.232409750611035</v>
      </c>
      <c r="W15" s="17">
        <f>COUNTIFS(源数据[日期],源数据[[#This Row],[日期]],源数据[账号id],源数据[[#This Row],[账号id]])</f>
        <v>1</v>
      </c>
      <c r="X15" s="15">
        <f>IFERROR(源数据[[#This Row],[点击量]]/源数据[[#This Row],[展示量]],"")</f>
        <v>0.0263159792067715</v>
      </c>
      <c r="Y15" s="16">
        <f>IFERROR(源数据[[#This Row],[播放量]]/源数据[[#This Row],[展示量]],"")</f>
        <v>0.232409750611035</v>
      </c>
      <c r="Z15" s="16">
        <f>IFERROR(源数据[[#This Row],[三连投放总消耗(毫分)]]/源数据[[#This Row],[播放量]],"")</f>
        <v>0.0405030120986505</v>
      </c>
      <c r="AA1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6" s="2" customFormat="1" spans="1:27">
      <c r="A16" s="7">
        <v>46204</v>
      </c>
      <c r="B16" s="8" t="s">
        <v>124</v>
      </c>
      <c r="C16" s="8" t="s">
        <v>125</v>
      </c>
      <c r="D16" s="8" t="s">
        <v>91</v>
      </c>
      <c r="E16" s="8" t="s">
        <v>92</v>
      </c>
      <c r="F16" s="8" t="s">
        <v>96</v>
      </c>
      <c r="G16" s="9">
        <v>225451</v>
      </c>
      <c r="H16" s="9">
        <v>3777</v>
      </c>
      <c r="I16" s="10">
        <v>2566.20095</v>
      </c>
      <c r="J16" s="11">
        <v>2566.09</v>
      </c>
      <c r="K16" s="12">
        <f t="shared" si="0"/>
        <v>0.0167530860364336</v>
      </c>
      <c r="L16" s="13">
        <f t="shared" si="1"/>
        <v>11.3825219227238</v>
      </c>
      <c r="M16" s="13">
        <f t="shared" si="2"/>
        <v>0.679428369075986</v>
      </c>
      <c r="N16" s="11">
        <v>0</v>
      </c>
      <c r="O16" s="11">
        <v>0</v>
      </c>
      <c r="P16" s="11">
        <v>2621.4</v>
      </c>
      <c r="Q16" s="13">
        <f t="shared" si="3"/>
        <v>1.021510026329</v>
      </c>
      <c r="R16" s="11">
        <v>2621.4</v>
      </c>
      <c r="S16" s="13">
        <f t="shared" si="4"/>
        <v>1.021510026329</v>
      </c>
      <c r="T16" s="9">
        <v>55848</v>
      </c>
      <c r="U16" s="13">
        <f t="shared" si="5"/>
        <v>21.7629098765629</v>
      </c>
      <c r="V16" s="12">
        <f t="shared" si="6"/>
        <v>0.247716798772239</v>
      </c>
      <c r="W16" s="17">
        <f>COUNTIFS(源数据[日期],源数据[[#This Row],[日期]],源数据[账号id],源数据[[#This Row],[账号id]])</f>
        <v>1</v>
      </c>
      <c r="X16" s="15">
        <f>IFERROR(源数据[[#This Row],[点击量]]/源数据[[#This Row],[展示量]],"")</f>
        <v>0.0167530860364336</v>
      </c>
      <c r="Y16" s="16">
        <f>IFERROR(源数据[[#This Row],[播放量]]/源数据[[#This Row],[展示量]],"")</f>
        <v>0.247716798772239</v>
      </c>
      <c r="Z16" s="16">
        <f>IFERROR(源数据[[#This Row],[三连投放总消耗(毫分)]]/源数据[[#This Row],[播放量]],"")</f>
        <v>0.045949737680848</v>
      </c>
      <c r="AA1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7" s="2" customFormat="1" spans="1:27">
      <c r="A17" s="7">
        <v>46204</v>
      </c>
      <c r="B17" s="8" t="s">
        <v>126</v>
      </c>
      <c r="C17" s="8" t="s">
        <v>127</v>
      </c>
      <c r="D17" s="8" t="s">
        <v>91</v>
      </c>
      <c r="E17" s="8" t="s">
        <v>92</v>
      </c>
      <c r="F17" s="8" t="s">
        <v>93</v>
      </c>
      <c r="G17" s="9">
        <v>248820</v>
      </c>
      <c r="H17" s="9">
        <v>4850</v>
      </c>
      <c r="I17" s="10">
        <v>2507.56759</v>
      </c>
      <c r="J17" s="11">
        <v>2507.46</v>
      </c>
      <c r="K17" s="12">
        <f t="shared" si="0"/>
        <v>0.0194920022506229</v>
      </c>
      <c r="L17" s="13">
        <f t="shared" si="1"/>
        <v>10.0778377541998</v>
      </c>
      <c r="M17" s="13">
        <f t="shared" si="2"/>
        <v>0.517024245360825</v>
      </c>
      <c r="N17" s="11">
        <v>0</v>
      </c>
      <c r="O17" s="11">
        <v>0</v>
      </c>
      <c r="P17" s="11">
        <v>2590.58</v>
      </c>
      <c r="Q17" s="13">
        <f t="shared" si="3"/>
        <v>1.0331047547157</v>
      </c>
      <c r="R17" s="11">
        <v>2590.58</v>
      </c>
      <c r="S17" s="13">
        <f t="shared" si="4"/>
        <v>1.0331047547157</v>
      </c>
      <c r="T17" s="9">
        <v>63737</v>
      </c>
      <c r="U17" s="13">
        <f t="shared" si="5"/>
        <v>25.4178592250827</v>
      </c>
      <c r="V17" s="12">
        <f t="shared" si="6"/>
        <v>0.256157061329475</v>
      </c>
      <c r="W17" s="17">
        <f>COUNTIFS(源数据[日期],源数据[[#This Row],[日期]],源数据[账号id],源数据[[#This Row],[账号id]])</f>
        <v>1</v>
      </c>
      <c r="X17" s="15">
        <f>IFERROR(源数据[[#This Row],[点击量]]/源数据[[#This Row],[展示量]],"")</f>
        <v>0.0194920022506229</v>
      </c>
      <c r="Y17" s="16">
        <f>IFERROR(源数据[[#This Row],[播放量]]/源数据[[#This Row],[展示量]],"")</f>
        <v>0.256157061329475</v>
      </c>
      <c r="Z17" s="16">
        <f>IFERROR(源数据[[#This Row],[三连投放总消耗(毫分)]]/源数据[[#This Row],[播放量]],"")</f>
        <v>0.0393424163358803</v>
      </c>
      <c r="AA1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8" s="2" customFormat="1" spans="1:27">
      <c r="A18" s="7">
        <v>46204</v>
      </c>
      <c r="B18" s="8" t="s">
        <v>128</v>
      </c>
      <c r="C18" s="8" t="s">
        <v>129</v>
      </c>
      <c r="D18" s="8" t="s">
        <v>91</v>
      </c>
      <c r="E18" s="8" t="s">
        <v>92</v>
      </c>
      <c r="F18" s="8" t="s">
        <v>93</v>
      </c>
      <c r="G18" s="9">
        <v>267801</v>
      </c>
      <c r="H18" s="9">
        <v>10816</v>
      </c>
      <c r="I18" s="10">
        <v>2391.85607</v>
      </c>
      <c r="J18" s="11">
        <v>2391.72</v>
      </c>
      <c r="K18" s="12">
        <f t="shared" si="0"/>
        <v>0.0403881986997808</v>
      </c>
      <c r="L18" s="13">
        <f t="shared" si="1"/>
        <v>8.93146803036583</v>
      </c>
      <c r="M18" s="13">
        <f t="shared" si="2"/>
        <v>0.221140539016272</v>
      </c>
      <c r="N18" s="11">
        <v>0</v>
      </c>
      <c r="O18" s="11">
        <v>0</v>
      </c>
      <c r="P18" s="11">
        <v>2539.67</v>
      </c>
      <c r="Q18" s="13">
        <f t="shared" si="3"/>
        <v>1.06179883976045</v>
      </c>
      <c r="R18" s="11">
        <v>2539.67</v>
      </c>
      <c r="S18" s="13">
        <f t="shared" si="4"/>
        <v>1.06179883976045</v>
      </c>
      <c r="T18" s="9">
        <v>66370</v>
      </c>
      <c r="U18" s="13">
        <f t="shared" si="5"/>
        <v>27.748325174098</v>
      </c>
      <c r="V18" s="12">
        <f t="shared" si="6"/>
        <v>0.247833279188651</v>
      </c>
      <c r="W18" s="17">
        <f>COUNTIFS(源数据[日期],源数据[[#This Row],[日期]],源数据[账号id],源数据[[#This Row],[账号id]])</f>
        <v>1</v>
      </c>
      <c r="X18" s="15">
        <f>IFERROR(源数据[[#This Row],[点击量]]/源数据[[#This Row],[展示量]],"")</f>
        <v>0.0403881986997808</v>
      </c>
      <c r="Y18" s="16">
        <f>IFERROR(源数据[[#This Row],[播放量]]/源数据[[#This Row],[展示量]],"")</f>
        <v>0.247833279188651</v>
      </c>
      <c r="Z18" s="16">
        <f>IFERROR(源数据[[#This Row],[三连投放总消耗(毫分)]]/源数据[[#This Row],[播放量]],"")</f>
        <v>0.0360382110893476</v>
      </c>
      <c r="AA1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9" s="2" customFormat="1" spans="1:27">
      <c r="A19" s="7">
        <v>46204</v>
      </c>
      <c r="B19" s="8" t="s">
        <v>130</v>
      </c>
      <c r="C19" s="8" t="s">
        <v>131</v>
      </c>
      <c r="D19" s="8" t="s">
        <v>91</v>
      </c>
      <c r="E19" s="8" t="s">
        <v>92</v>
      </c>
      <c r="F19" s="8" t="s">
        <v>96</v>
      </c>
      <c r="G19" s="9">
        <v>233722</v>
      </c>
      <c r="H19" s="9">
        <v>3728</v>
      </c>
      <c r="I19" s="10">
        <v>2390.70189</v>
      </c>
      <c r="J19" s="11">
        <v>2390.6</v>
      </c>
      <c r="K19" s="12">
        <f t="shared" si="0"/>
        <v>0.0159505737585679</v>
      </c>
      <c r="L19" s="13">
        <f t="shared" si="1"/>
        <v>10.2288269396976</v>
      </c>
      <c r="M19" s="13">
        <f t="shared" si="2"/>
        <v>0.641282695815451</v>
      </c>
      <c r="N19" s="11">
        <v>0</v>
      </c>
      <c r="O19" s="11">
        <v>0</v>
      </c>
      <c r="P19" s="11">
        <v>2538.43</v>
      </c>
      <c r="Q19" s="13">
        <f t="shared" si="3"/>
        <v>1.06179277751774</v>
      </c>
      <c r="R19" s="11">
        <v>2538.44</v>
      </c>
      <c r="S19" s="13">
        <f t="shared" si="4"/>
        <v>1.06179696038974</v>
      </c>
      <c r="T19" s="9">
        <v>55230</v>
      </c>
      <c r="U19" s="13">
        <f t="shared" si="5"/>
        <v>23.1020020651759</v>
      </c>
      <c r="V19" s="12">
        <f t="shared" si="6"/>
        <v>0.236306381085221</v>
      </c>
      <c r="W19" s="17">
        <f>COUNTIFS(源数据[日期],源数据[[#This Row],[日期]],源数据[账号id],源数据[[#This Row],[账号id]])</f>
        <v>1</v>
      </c>
      <c r="X19" s="15">
        <f>IFERROR(源数据[[#This Row],[点击量]]/源数据[[#This Row],[展示量]],"")</f>
        <v>0.0159505737585679</v>
      </c>
      <c r="Y19" s="16">
        <f>IFERROR(源数据[[#This Row],[播放量]]/源数据[[#This Row],[展示量]],"")</f>
        <v>0.236306381085221</v>
      </c>
      <c r="Z19" s="16">
        <f>IFERROR(源数据[[#This Row],[三连投放总消耗(毫分)]]/源数据[[#This Row],[播放量]],"")</f>
        <v>0.0432862916892993</v>
      </c>
      <c r="AA1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0" s="2" customFormat="1" spans="1:27">
      <c r="A20" s="7">
        <v>46204</v>
      </c>
      <c r="B20" s="8" t="s">
        <v>132</v>
      </c>
      <c r="C20" s="8" t="s">
        <v>133</v>
      </c>
      <c r="D20" s="8" t="s">
        <v>91</v>
      </c>
      <c r="E20" s="8" t="s">
        <v>92</v>
      </c>
      <c r="F20" s="8" t="s">
        <v>96</v>
      </c>
      <c r="G20" s="9">
        <v>184156</v>
      </c>
      <c r="H20" s="9">
        <v>3163</v>
      </c>
      <c r="I20" s="10">
        <v>2357.87999</v>
      </c>
      <c r="J20" s="11">
        <v>2357.76</v>
      </c>
      <c r="K20" s="12">
        <f t="shared" si="0"/>
        <v>0.0171756554225765</v>
      </c>
      <c r="L20" s="13">
        <f t="shared" si="1"/>
        <v>12.8037098438281</v>
      </c>
      <c r="M20" s="13">
        <f t="shared" si="2"/>
        <v>0.74545684160607</v>
      </c>
      <c r="N20" s="11">
        <v>0</v>
      </c>
      <c r="O20" s="11">
        <v>0</v>
      </c>
      <c r="P20" s="11">
        <v>2383.08</v>
      </c>
      <c r="Q20" s="13">
        <f t="shared" si="3"/>
        <v>1.01068757108372</v>
      </c>
      <c r="R20" s="11">
        <v>2383.08</v>
      </c>
      <c r="S20" s="13">
        <f t="shared" si="4"/>
        <v>1.01068757108372</v>
      </c>
      <c r="T20" s="9">
        <v>43072</v>
      </c>
      <c r="U20" s="13">
        <f t="shared" si="5"/>
        <v>18.2672571049725</v>
      </c>
      <c r="V20" s="12">
        <f t="shared" si="6"/>
        <v>0.233888659614675</v>
      </c>
      <c r="W20" s="17">
        <f>COUNTIFS(源数据[日期],源数据[[#This Row],[日期]],源数据[账号id],源数据[[#This Row],[账号id]])</f>
        <v>1</v>
      </c>
      <c r="X20" s="15">
        <f>IFERROR(源数据[[#This Row],[点击量]]/源数据[[#This Row],[展示量]],"")</f>
        <v>0.0171756554225765</v>
      </c>
      <c r="Y20" s="16">
        <f>IFERROR(源数据[[#This Row],[播放量]]/源数据[[#This Row],[展示量]],"")</f>
        <v>0.233888659614675</v>
      </c>
      <c r="Z20" s="16">
        <f>IFERROR(源数据[[#This Row],[三连投放总消耗(毫分)]]/源数据[[#This Row],[播放量]],"")</f>
        <v>0.054742756082838</v>
      </c>
      <c r="AA2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1" s="2" customFormat="1" spans="1:27">
      <c r="A21" s="7">
        <v>46204</v>
      </c>
      <c r="B21" s="8" t="s">
        <v>134</v>
      </c>
      <c r="C21" s="8" t="s">
        <v>135</v>
      </c>
      <c r="D21" s="8" t="s">
        <v>91</v>
      </c>
      <c r="E21" s="8" t="s">
        <v>92</v>
      </c>
      <c r="F21" s="8" t="s">
        <v>96</v>
      </c>
      <c r="G21" s="9">
        <v>196919</v>
      </c>
      <c r="H21" s="9">
        <v>5725</v>
      </c>
      <c r="I21" s="10">
        <v>2347.42518</v>
      </c>
      <c r="J21" s="11">
        <v>2347.33</v>
      </c>
      <c r="K21" s="12">
        <f t="shared" si="0"/>
        <v>0.0290728675242105</v>
      </c>
      <c r="L21" s="13">
        <f t="shared" si="1"/>
        <v>11.9207652892814</v>
      </c>
      <c r="M21" s="13">
        <f t="shared" si="2"/>
        <v>0.410030599126638</v>
      </c>
      <c r="N21" s="11">
        <v>0</v>
      </c>
      <c r="O21" s="11">
        <v>0</v>
      </c>
      <c r="P21" s="11">
        <v>2539.69</v>
      </c>
      <c r="Q21" s="13">
        <f t="shared" si="3"/>
        <v>1.08190455723066</v>
      </c>
      <c r="R21" s="11">
        <v>2539.69</v>
      </c>
      <c r="S21" s="13">
        <f t="shared" si="4"/>
        <v>1.08190455723066</v>
      </c>
      <c r="T21" s="9">
        <v>39798</v>
      </c>
      <c r="U21" s="13">
        <f t="shared" si="5"/>
        <v>16.9538949905956</v>
      </c>
      <c r="V21" s="12">
        <f t="shared" si="6"/>
        <v>0.202103402922014</v>
      </c>
      <c r="W21" s="17">
        <f>COUNTIFS(源数据[日期],源数据[[#This Row],[日期]],源数据[账号id],源数据[[#This Row],[账号id]])</f>
        <v>1</v>
      </c>
      <c r="X21" s="15">
        <f>IFERROR(源数据[[#This Row],[点击量]]/源数据[[#This Row],[展示量]],"")</f>
        <v>0.0290728675242105</v>
      </c>
      <c r="Y21" s="16">
        <f>IFERROR(源数据[[#This Row],[播放量]]/源数据[[#This Row],[展示量]],"")</f>
        <v>0.202103402922014</v>
      </c>
      <c r="Z21" s="16">
        <f>IFERROR(源数据[[#This Row],[三连投放总消耗(毫分)]]/源数据[[#This Row],[播放量]],"")</f>
        <v>0.0589834961555857</v>
      </c>
      <c r="AA2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2" s="2" customFormat="1" spans="1:27">
      <c r="A22" s="7">
        <v>46204</v>
      </c>
      <c r="B22" s="8" t="s">
        <v>136</v>
      </c>
      <c r="C22" s="8" t="s">
        <v>137</v>
      </c>
      <c r="D22" s="8" t="s">
        <v>91</v>
      </c>
      <c r="E22" s="8" t="s">
        <v>92</v>
      </c>
      <c r="F22" s="8" t="s">
        <v>96</v>
      </c>
      <c r="G22" s="9">
        <v>279924</v>
      </c>
      <c r="H22" s="9">
        <v>7847</v>
      </c>
      <c r="I22" s="10">
        <v>2292.9031</v>
      </c>
      <c r="J22" s="11">
        <v>2292.8</v>
      </c>
      <c r="K22" s="12">
        <f t="shared" si="0"/>
        <v>0.0280326088509738</v>
      </c>
      <c r="L22" s="13">
        <f t="shared" si="1"/>
        <v>8.19116295851731</v>
      </c>
      <c r="M22" s="13">
        <f t="shared" si="2"/>
        <v>0.2922012361412</v>
      </c>
      <c r="N22" s="11">
        <v>0</v>
      </c>
      <c r="O22" s="11">
        <v>0</v>
      </c>
      <c r="P22" s="11">
        <v>2495.13</v>
      </c>
      <c r="Q22" s="13">
        <f t="shared" si="3"/>
        <v>1.08819688019088</v>
      </c>
      <c r="R22" s="11">
        <v>2495.13</v>
      </c>
      <c r="S22" s="13">
        <f t="shared" si="4"/>
        <v>1.08819688019088</v>
      </c>
      <c r="T22" s="9">
        <v>64392</v>
      </c>
      <c r="U22" s="13">
        <f t="shared" si="5"/>
        <v>28.083175429437</v>
      </c>
      <c r="V22" s="12">
        <f t="shared" si="6"/>
        <v>0.230033866335148</v>
      </c>
      <c r="W22" s="17">
        <f>COUNTIFS(源数据[日期],源数据[[#This Row],[日期]],源数据[账号id],源数据[[#This Row],[账号id]])</f>
        <v>1</v>
      </c>
      <c r="X22" s="15">
        <f>IFERROR(源数据[[#This Row],[点击量]]/源数据[[#This Row],[展示量]],"")</f>
        <v>0.0280326088509738</v>
      </c>
      <c r="Y22" s="16">
        <f>IFERROR(源数据[[#This Row],[播放量]]/源数据[[#This Row],[展示量]],"")</f>
        <v>0.230033866335148</v>
      </c>
      <c r="Z22" s="16">
        <f>IFERROR(源数据[[#This Row],[三连投放总消耗(毫分)]]/源数据[[#This Row],[播放量]],"")</f>
        <v>0.0356085088209716</v>
      </c>
      <c r="AA2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3" s="2" customFormat="1" spans="1:27">
      <c r="A23" s="7">
        <v>46204</v>
      </c>
      <c r="B23" s="8" t="s">
        <v>138</v>
      </c>
      <c r="C23" s="8" t="s">
        <v>139</v>
      </c>
      <c r="D23" s="8" t="s">
        <v>91</v>
      </c>
      <c r="E23" s="8" t="s">
        <v>92</v>
      </c>
      <c r="F23" s="8" t="s">
        <v>96</v>
      </c>
      <c r="G23" s="9">
        <v>224998</v>
      </c>
      <c r="H23" s="9">
        <v>3576</v>
      </c>
      <c r="I23" s="10">
        <v>2289.53668</v>
      </c>
      <c r="J23" s="11">
        <v>2289.42</v>
      </c>
      <c r="K23" s="12">
        <f t="shared" si="0"/>
        <v>0.0158934746086632</v>
      </c>
      <c r="L23" s="13">
        <f t="shared" si="1"/>
        <v>10.1758090294136</v>
      </c>
      <c r="M23" s="13">
        <f t="shared" si="2"/>
        <v>0.640250749440716</v>
      </c>
      <c r="N23" s="11">
        <v>0</v>
      </c>
      <c r="O23" s="11">
        <v>0</v>
      </c>
      <c r="P23" s="11">
        <v>2286.42</v>
      </c>
      <c r="Q23" s="13">
        <f t="shared" si="3"/>
        <v>0.998638728950173</v>
      </c>
      <c r="R23" s="11">
        <v>2286.42</v>
      </c>
      <c r="S23" s="13">
        <f t="shared" si="4"/>
        <v>0.998638728950173</v>
      </c>
      <c r="T23" s="9">
        <v>52146</v>
      </c>
      <c r="U23" s="13">
        <f t="shared" si="5"/>
        <v>22.7757871081585</v>
      </c>
      <c r="V23" s="12">
        <f t="shared" si="6"/>
        <v>0.231762060107201</v>
      </c>
      <c r="W23" s="17">
        <f>COUNTIFS(源数据[日期],源数据[[#This Row],[日期]],源数据[账号id],源数据[[#This Row],[账号id]])</f>
        <v>1</v>
      </c>
      <c r="X23" s="15">
        <f>IFERROR(源数据[[#This Row],[点击量]]/源数据[[#This Row],[展示量]],"")</f>
        <v>0.0158934746086632</v>
      </c>
      <c r="Y23" s="16">
        <f>IFERROR(源数据[[#This Row],[播放量]]/源数据[[#This Row],[展示量]],"")</f>
        <v>0.231762060107201</v>
      </c>
      <c r="Z23" s="16">
        <f>IFERROR(源数据[[#This Row],[三连投放总消耗(毫分)]]/源数据[[#This Row],[播放量]],"")</f>
        <v>0.0439062762244467</v>
      </c>
      <c r="AA2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4" s="2" customFormat="1" spans="1:27">
      <c r="A24" s="7">
        <v>46204</v>
      </c>
      <c r="B24" s="8" t="s">
        <v>140</v>
      </c>
      <c r="C24" s="8" t="s">
        <v>141</v>
      </c>
      <c r="D24" s="8" t="s">
        <v>91</v>
      </c>
      <c r="E24" s="8" t="s">
        <v>92</v>
      </c>
      <c r="F24" s="8" t="s">
        <v>115</v>
      </c>
      <c r="G24" s="9">
        <v>925458</v>
      </c>
      <c r="H24" s="9">
        <v>39249</v>
      </c>
      <c r="I24" s="10">
        <v>2275.40766</v>
      </c>
      <c r="J24" s="11">
        <v>2275.28</v>
      </c>
      <c r="K24" s="12">
        <f t="shared" si="0"/>
        <v>0.0424103524957372</v>
      </c>
      <c r="L24" s="13">
        <f t="shared" si="1"/>
        <v>2.45868279273614</v>
      </c>
      <c r="M24" s="13">
        <f t="shared" si="2"/>
        <v>0.0579736467171138</v>
      </c>
      <c r="N24" s="11">
        <v>0</v>
      </c>
      <c r="O24" s="11">
        <v>0</v>
      </c>
      <c r="P24" s="11">
        <v>2373.79</v>
      </c>
      <c r="Q24" s="13">
        <f t="shared" si="3"/>
        <v>1.04323723688264</v>
      </c>
      <c r="R24" s="11">
        <v>2373.79</v>
      </c>
      <c r="S24" s="13">
        <f t="shared" si="4"/>
        <v>1.04323723688264</v>
      </c>
      <c r="T24" s="9">
        <v>0</v>
      </c>
      <c r="U24" s="13">
        <f t="shared" si="5"/>
        <v>0</v>
      </c>
      <c r="V24" s="12">
        <f t="shared" si="6"/>
        <v>0</v>
      </c>
      <c r="W24" s="17">
        <f>COUNTIFS(源数据[日期],源数据[[#This Row],[日期]],源数据[账号id],源数据[[#This Row],[账号id]])</f>
        <v>1</v>
      </c>
      <c r="X24" s="15">
        <f>IFERROR(源数据[[#This Row],[点击量]]/源数据[[#This Row],[展示量]],"")</f>
        <v>0.0424103524957372</v>
      </c>
      <c r="Y24" s="16">
        <f>IFERROR(源数据[[#This Row],[播放量]]/源数据[[#This Row],[展示量]],"")</f>
        <v>0</v>
      </c>
      <c r="Z24" s="16" t="str">
        <f>IFERROR(源数据[[#This Row],[三连投放总消耗(毫分)]]/源数据[[#This Row],[播放量]],"")</f>
        <v/>
      </c>
      <c r="AA2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5" s="2" customFormat="1" spans="1:27">
      <c r="A25" s="7">
        <v>46204</v>
      </c>
      <c r="B25" s="8" t="s">
        <v>142</v>
      </c>
      <c r="C25" s="8" t="s">
        <v>143</v>
      </c>
      <c r="D25" s="8" t="s">
        <v>91</v>
      </c>
      <c r="E25" s="8" t="s">
        <v>92</v>
      </c>
      <c r="F25" s="8" t="s">
        <v>96</v>
      </c>
      <c r="G25" s="9">
        <v>253336</v>
      </c>
      <c r="H25" s="9">
        <v>5044</v>
      </c>
      <c r="I25" s="10">
        <v>2271.06367</v>
      </c>
      <c r="J25" s="11">
        <v>2270.93</v>
      </c>
      <c r="K25" s="12">
        <f t="shared" si="0"/>
        <v>0.0199103167335081</v>
      </c>
      <c r="L25" s="13">
        <f t="shared" si="1"/>
        <v>8.96463064862475</v>
      </c>
      <c r="M25" s="13">
        <f t="shared" si="2"/>
        <v>0.450250529341792</v>
      </c>
      <c r="N25" s="11">
        <v>0</v>
      </c>
      <c r="O25" s="11">
        <v>0</v>
      </c>
      <c r="P25" s="11">
        <v>2419.01</v>
      </c>
      <c r="Q25" s="13">
        <f t="shared" si="3"/>
        <v>1.06514406969488</v>
      </c>
      <c r="R25" s="11">
        <v>2419.01</v>
      </c>
      <c r="S25" s="13">
        <f t="shared" si="4"/>
        <v>1.06514406969488</v>
      </c>
      <c r="T25" s="9">
        <v>38930</v>
      </c>
      <c r="U25" s="13">
        <f t="shared" si="5"/>
        <v>17.1417475054761</v>
      </c>
      <c r="V25" s="12">
        <f t="shared" si="6"/>
        <v>0.153669435058578</v>
      </c>
      <c r="W25" s="17">
        <f>COUNTIFS(源数据[日期],源数据[[#This Row],[日期]],源数据[账号id],源数据[[#This Row],[账号id]])</f>
        <v>1</v>
      </c>
      <c r="X25" s="15">
        <f>IFERROR(源数据[[#This Row],[点击量]]/源数据[[#This Row],[展示量]],"")</f>
        <v>0.0199103167335081</v>
      </c>
      <c r="Y25" s="16">
        <f>IFERROR(源数据[[#This Row],[播放量]]/源数据[[#This Row],[展示量]],"")</f>
        <v>0.153669435058578</v>
      </c>
      <c r="Z25" s="16">
        <f>IFERROR(源数据[[#This Row],[三连投放总消耗(毫分)]]/源数据[[#This Row],[播放量]],"")</f>
        <v>0.058337109427177</v>
      </c>
      <c r="AA2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6" s="2" customFormat="1" spans="1:27">
      <c r="A26" s="7">
        <v>46204</v>
      </c>
      <c r="B26" s="8" t="s">
        <v>144</v>
      </c>
      <c r="C26" s="8" t="s">
        <v>145</v>
      </c>
      <c r="D26" s="8" t="s">
        <v>91</v>
      </c>
      <c r="E26" s="8" t="s">
        <v>92</v>
      </c>
      <c r="F26" s="8" t="s">
        <v>96</v>
      </c>
      <c r="G26" s="9">
        <v>274071</v>
      </c>
      <c r="H26" s="9">
        <v>4691</v>
      </c>
      <c r="I26" s="10">
        <v>2260.16406</v>
      </c>
      <c r="J26" s="11">
        <v>2260.05</v>
      </c>
      <c r="K26" s="12">
        <f t="shared" si="0"/>
        <v>0.0171160027875988</v>
      </c>
      <c r="L26" s="13">
        <f t="shared" si="1"/>
        <v>8.24663703930733</v>
      </c>
      <c r="M26" s="13">
        <f t="shared" si="2"/>
        <v>0.481808582391814</v>
      </c>
      <c r="N26" s="11">
        <v>0</v>
      </c>
      <c r="O26" s="11">
        <v>0</v>
      </c>
      <c r="P26" s="11">
        <v>2412.67</v>
      </c>
      <c r="Q26" s="13">
        <f t="shared" si="3"/>
        <v>1.06747560617347</v>
      </c>
      <c r="R26" s="11">
        <v>2412.67</v>
      </c>
      <c r="S26" s="13">
        <f t="shared" si="4"/>
        <v>1.06747560617347</v>
      </c>
      <c r="T26" s="9">
        <v>57083</v>
      </c>
      <c r="U26" s="13">
        <f t="shared" si="5"/>
        <v>25.2561311854503</v>
      </c>
      <c r="V26" s="12">
        <f t="shared" si="6"/>
        <v>0.20827814690354</v>
      </c>
      <c r="W26" s="17">
        <f>COUNTIFS(源数据[日期],源数据[[#This Row],[日期]],源数据[账号id],源数据[[#This Row],[账号id]])</f>
        <v>1</v>
      </c>
      <c r="X26" s="15">
        <f>IFERROR(源数据[[#This Row],[点击量]]/源数据[[#This Row],[展示量]],"")</f>
        <v>0.0171160027875988</v>
      </c>
      <c r="Y26" s="16">
        <f>IFERROR(源数据[[#This Row],[播放量]]/源数据[[#This Row],[展示量]],"")</f>
        <v>0.20827814690354</v>
      </c>
      <c r="Z26" s="16">
        <f>IFERROR(源数据[[#This Row],[三连投放总消耗(毫分)]]/源数据[[#This Row],[播放量]],"")</f>
        <v>0.0395943461275686</v>
      </c>
      <c r="AA2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7" s="2" customFormat="1" spans="1:27">
      <c r="A27" s="7">
        <v>46204</v>
      </c>
      <c r="B27" s="8" t="s">
        <v>146</v>
      </c>
      <c r="C27" s="8" t="s">
        <v>147</v>
      </c>
      <c r="D27" s="8" t="s">
        <v>91</v>
      </c>
      <c r="E27" s="8" t="s">
        <v>92</v>
      </c>
      <c r="F27" s="8" t="s">
        <v>96</v>
      </c>
      <c r="G27" s="9">
        <v>182895</v>
      </c>
      <c r="H27" s="9">
        <v>4417</v>
      </c>
      <c r="I27" s="10">
        <v>2260.09469</v>
      </c>
      <c r="J27" s="11">
        <v>2259.99</v>
      </c>
      <c r="K27" s="12">
        <f t="shared" si="0"/>
        <v>0.0241504688482463</v>
      </c>
      <c r="L27" s="13">
        <f t="shared" si="1"/>
        <v>12.3573344815331</v>
      </c>
      <c r="M27" s="13">
        <f t="shared" si="2"/>
        <v>0.511680935023772</v>
      </c>
      <c r="N27" s="11">
        <v>0</v>
      </c>
      <c r="O27" s="11">
        <v>0</v>
      </c>
      <c r="P27" s="11">
        <v>2354.99</v>
      </c>
      <c r="Q27" s="13">
        <f t="shared" si="3"/>
        <v>1.04198731602701</v>
      </c>
      <c r="R27" s="11">
        <v>2354.99</v>
      </c>
      <c r="S27" s="13">
        <f t="shared" si="4"/>
        <v>1.04198731602701</v>
      </c>
      <c r="T27" s="9">
        <v>43715</v>
      </c>
      <c r="U27" s="13">
        <f t="shared" si="5"/>
        <v>19.3421099538091</v>
      </c>
      <c r="V27" s="12">
        <f t="shared" si="6"/>
        <v>0.23901692227781</v>
      </c>
      <c r="W27" s="17">
        <f>COUNTIFS(源数据[日期],源数据[[#This Row],[日期]],源数据[账号id],源数据[[#This Row],[账号id]])</f>
        <v>1</v>
      </c>
      <c r="X27" s="15">
        <f>IFERROR(源数据[[#This Row],[点击量]]/源数据[[#This Row],[展示量]],"")</f>
        <v>0.0241504688482463</v>
      </c>
      <c r="Y27" s="16">
        <f>IFERROR(源数据[[#This Row],[播放量]]/源数据[[#This Row],[展示量]],"")</f>
        <v>0.23901692227781</v>
      </c>
      <c r="Z27" s="16">
        <f>IFERROR(源数据[[#This Row],[三连投放总消耗(毫分)]]/源数据[[#This Row],[播放量]],"")</f>
        <v>0.0517006677341873</v>
      </c>
      <c r="AA2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8" s="2" customFormat="1" spans="1:27">
      <c r="A28" s="7">
        <v>46204</v>
      </c>
      <c r="B28" s="8" t="s">
        <v>148</v>
      </c>
      <c r="C28" s="8" t="s">
        <v>149</v>
      </c>
      <c r="D28" s="8" t="s">
        <v>91</v>
      </c>
      <c r="E28" s="8" t="s">
        <v>92</v>
      </c>
      <c r="F28" s="8" t="s">
        <v>96</v>
      </c>
      <c r="G28" s="9">
        <v>203227</v>
      </c>
      <c r="H28" s="9">
        <v>6472</v>
      </c>
      <c r="I28" s="10">
        <v>2230.882</v>
      </c>
      <c r="J28" s="11">
        <v>2230.79</v>
      </c>
      <c r="K28" s="12">
        <f t="shared" si="0"/>
        <v>0.0318461621733333</v>
      </c>
      <c r="L28" s="13">
        <f t="shared" si="1"/>
        <v>10.9772914032092</v>
      </c>
      <c r="M28" s="13">
        <f t="shared" si="2"/>
        <v>0.344697466007417</v>
      </c>
      <c r="N28" s="11">
        <v>0</v>
      </c>
      <c r="O28" s="11">
        <v>0</v>
      </c>
      <c r="P28" s="11">
        <v>2274.31</v>
      </c>
      <c r="Q28" s="13">
        <f t="shared" si="3"/>
        <v>1.01946674006066</v>
      </c>
      <c r="R28" s="11">
        <v>2274.31</v>
      </c>
      <c r="S28" s="13">
        <f t="shared" si="4"/>
        <v>1.01946674006066</v>
      </c>
      <c r="T28" s="9">
        <v>46836</v>
      </c>
      <c r="U28" s="13">
        <f t="shared" si="5"/>
        <v>20.9943869734033</v>
      </c>
      <c r="V28" s="12">
        <f t="shared" si="6"/>
        <v>0.230461503638788</v>
      </c>
      <c r="W28" s="17">
        <f>COUNTIFS(源数据[日期],源数据[[#This Row],[日期]],源数据[账号id],源数据[[#This Row],[账号id]])</f>
        <v>1</v>
      </c>
      <c r="X28" s="15">
        <f>IFERROR(源数据[[#This Row],[点击量]]/源数据[[#This Row],[展示量]],"")</f>
        <v>0.0318461621733333</v>
      </c>
      <c r="Y28" s="16">
        <f>IFERROR(源数据[[#This Row],[播放量]]/源数据[[#This Row],[展示量]],"")</f>
        <v>0.230461503638788</v>
      </c>
      <c r="Z28" s="16">
        <f>IFERROR(源数据[[#This Row],[三连投放总消耗(毫分)]]/源数据[[#This Row],[播放量]],"")</f>
        <v>0.0476317789734392</v>
      </c>
      <c r="AA2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9" s="2" customFormat="1" spans="1:27">
      <c r="A29" s="7">
        <v>46204</v>
      </c>
      <c r="B29" s="8" t="s">
        <v>150</v>
      </c>
      <c r="C29" s="8" t="s">
        <v>151</v>
      </c>
      <c r="D29" s="8" t="s">
        <v>91</v>
      </c>
      <c r="E29" s="8" t="s">
        <v>92</v>
      </c>
      <c r="F29" s="8" t="s">
        <v>152</v>
      </c>
      <c r="G29" s="9">
        <v>175269</v>
      </c>
      <c r="H29" s="9">
        <v>5792</v>
      </c>
      <c r="I29" s="10">
        <v>2226.36853</v>
      </c>
      <c r="J29" s="11">
        <v>2226.34</v>
      </c>
      <c r="K29" s="12">
        <f t="shared" si="0"/>
        <v>0.033046345902584</v>
      </c>
      <c r="L29" s="13">
        <f t="shared" si="1"/>
        <v>12.7025802052844</v>
      </c>
      <c r="M29" s="13">
        <f t="shared" si="2"/>
        <v>0.384386831837017</v>
      </c>
      <c r="N29" s="11">
        <v>319.83</v>
      </c>
      <c r="O29" s="11">
        <v>319.83</v>
      </c>
      <c r="P29" s="11">
        <v>1951.2</v>
      </c>
      <c r="Q29" s="13">
        <f t="shared" si="3"/>
        <v>0.876404770238106</v>
      </c>
      <c r="R29" s="11">
        <v>2271.02</v>
      </c>
      <c r="S29" s="13">
        <f t="shared" si="4"/>
        <v>1.02005574072681</v>
      </c>
      <c r="T29" s="9">
        <v>25912</v>
      </c>
      <c r="U29" s="13">
        <f t="shared" si="5"/>
        <v>11.638684095126</v>
      </c>
      <c r="V29" s="12">
        <f t="shared" si="6"/>
        <v>0.147841318202306</v>
      </c>
      <c r="W29" s="17">
        <f>COUNTIFS(源数据[日期],源数据[[#This Row],[日期]],源数据[账号id],源数据[[#This Row],[账号id]])</f>
        <v>1</v>
      </c>
      <c r="X29" s="15">
        <f>IFERROR(源数据[[#This Row],[点击量]]/源数据[[#This Row],[展示量]],"")</f>
        <v>0.033046345902584</v>
      </c>
      <c r="Y29" s="16">
        <f>IFERROR(源数据[[#This Row],[播放量]]/源数据[[#This Row],[展示量]],"")</f>
        <v>0.147841318202306</v>
      </c>
      <c r="Z29" s="16">
        <f>IFERROR(源数据[[#This Row],[三连投放总消耗(毫分)]]/源数据[[#This Row],[播放量]],"")</f>
        <v>0.0859203662395801</v>
      </c>
      <c r="AA2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0" s="2" customFormat="1" spans="1:27">
      <c r="A30" s="7">
        <v>46204</v>
      </c>
      <c r="B30" s="8" t="s">
        <v>153</v>
      </c>
      <c r="C30" s="8" t="s">
        <v>154</v>
      </c>
      <c r="D30" s="8" t="s">
        <v>91</v>
      </c>
      <c r="E30" s="8" t="s">
        <v>92</v>
      </c>
      <c r="F30" s="8" t="s">
        <v>96</v>
      </c>
      <c r="G30" s="9">
        <v>213073</v>
      </c>
      <c r="H30" s="9">
        <v>6315</v>
      </c>
      <c r="I30" s="10">
        <v>1930.8693</v>
      </c>
      <c r="J30" s="11">
        <v>1930.75</v>
      </c>
      <c r="K30" s="12">
        <f t="shared" si="0"/>
        <v>0.029637729792137</v>
      </c>
      <c r="L30" s="13">
        <f t="shared" si="1"/>
        <v>9.06200832578506</v>
      </c>
      <c r="M30" s="13">
        <f t="shared" si="2"/>
        <v>0.30575919239905</v>
      </c>
      <c r="N30" s="11">
        <v>0</v>
      </c>
      <c r="O30" s="11">
        <v>0</v>
      </c>
      <c r="P30" s="11">
        <v>1854.84</v>
      </c>
      <c r="Q30" s="13">
        <f t="shared" si="3"/>
        <v>0.960624315690347</v>
      </c>
      <c r="R30" s="11">
        <v>1854.84</v>
      </c>
      <c r="S30" s="13">
        <f t="shared" si="4"/>
        <v>0.960624315690347</v>
      </c>
      <c r="T30" s="9">
        <v>50457</v>
      </c>
      <c r="U30" s="13">
        <f t="shared" si="5"/>
        <v>26.1317531953095</v>
      </c>
      <c r="V30" s="12">
        <f t="shared" si="6"/>
        <v>0.236806165023255</v>
      </c>
      <c r="W30" s="17">
        <f>COUNTIFS(源数据[日期],源数据[[#This Row],[日期]],源数据[账号id],源数据[[#This Row],[账号id]])</f>
        <v>1</v>
      </c>
      <c r="X30" s="15">
        <f>IFERROR(源数据[[#This Row],[点击量]]/源数据[[#This Row],[展示量]],"")</f>
        <v>0.029637729792137</v>
      </c>
      <c r="Y30" s="16">
        <f>IFERROR(源数据[[#This Row],[播放量]]/源数据[[#This Row],[展示量]],"")</f>
        <v>0.236806165023255</v>
      </c>
      <c r="Z30" s="16">
        <f>IFERROR(源数据[[#This Row],[三连投放总消耗(毫分)]]/源数据[[#This Row],[播放量]],"")</f>
        <v>0.0382676199536239</v>
      </c>
      <c r="AA3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1" s="2" customFormat="1" spans="1:27">
      <c r="A31" s="7">
        <v>46204</v>
      </c>
      <c r="B31" s="8" t="s">
        <v>155</v>
      </c>
      <c r="C31" s="8" t="s">
        <v>156</v>
      </c>
      <c r="D31" s="8" t="s">
        <v>91</v>
      </c>
      <c r="E31" s="8" t="s">
        <v>92</v>
      </c>
      <c r="F31" s="8" t="s">
        <v>96</v>
      </c>
      <c r="G31" s="9">
        <v>158491</v>
      </c>
      <c r="H31" s="9">
        <v>3815</v>
      </c>
      <c r="I31" s="10">
        <v>1923.28583</v>
      </c>
      <c r="J31" s="11">
        <v>1923.16</v>
      </c>
      <c r="K31" s="12">
        <f t="shared" si="0"/>
        <v>0.0240707674252797</v>
      </c>
      <c r="L31" s="13">
        <f t="shared" si="1"/>
        <v>12.1349845101615</v>
      </c>
      <c r="M31" s="13">
        <f t="shared" si="2"/>
        <v>0.504137832241153</v>
      </c>
      <c r="N31" s="11">
        <v>0</v>
      </c>
      <c r="O31" s="11">
        <v>0</v>
      </c>
      <c r="P31" s="11">
        <v>2026.74</v>
      </c>
      <c r="Q31" s="13">
        <f t="shared" si="3"/>
        <v>1.05379032507092</v>
      </c>
      <c r="R31" s="11">
        <v>2026.74</v>
      </c>
      <c r="S31" s="13">
        <f t="shared" si="4"/>
        <v>1.05379032507092</v>
      </c>
      <c r="T31" s="9">
        <v>29444</v>
      </c>
      <c r="U31" s="13">
        <f t="shared" si="5"/>
        <v>15.3092169352696</v>
      </c>
      <c r="V31" s="12">
        <f t="shared" si="6"/>
        <v>0.185777110372198</v>
      </c>
      <c r="W31" s="17">
        <f>COUNTIFS(源数据[日期],源数据[[#This Row],[日期]],源数据[账号id],源数据[[#This Row],[账号id]])</f>
        <v>1</v>
      </c>
      <c r="X31" s="15">
        <f>IFERROR(源数据[[#This Row],[点击量]]/源数据[[#This Row],[展示量]],"")</f>
        <v>0.0240707674252797</v>
      </c>
      <c r="Y31" s="16">
        <f>IFERROR(源数据[[#This Row],[播放量]]/源数据[[#This Row],[展示量]],"")</f>
        <v>0.185777110372198</v>
      </c>
      <c r="Z31" s="16">
        <f>IFERROR(源数据[[#This Row],[三连投放总消耗(毫分)]]/源数据[[#This Row],[播放量]],"")</f>
        <v>0.065320127360413</v>
      </c>
      <c r="AA3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2" s="2" customFormat="1" spans="1:27">
      <c r="A32" s="7">
        <v>46204</v>
      </c>
      <c r="B32" s="8" t="s">
        <v>157</v>
      </c>
      <c r="C32" s="8" t="s">
        <v>158</v>
      </c>
      <c r="D32" s="8" t="s">
        <v>91</v>
      </c>
      <c r="E32" s="8" t="s">
        <v>92</v>
      </c>
      <c r="F32" s="8" t="s">
        <v>96</v>
      </c>
      <c r="G32" s="9">
        <v>140552</v>
      </c>
      <c r="H32" s="9">
        <v>5824</v>
      </c>
      <c r="I32" s="10">
        <v>1863.11891</v>
      </c>
      <c r="J32" s="11">
        <v>1863</v>
      </c>
      <c r="K32" s="12">
        <f t="shared" si="0"/>
        <v>0.0414366213216461</v>
      </c>
      <c r="L32" s="13">
        <f t="shared" si="1"/>
        <v>13.2557267772782</v>
      </c>
      <c r="M32" s="13">
        <f t="shared" si="2"/>
        <v>0.319903658997253</v>
      </c>
      <c r="N32" s="11">
        <v>0</v>
      </c>
      <c r="O32" s="11">
        <v>0</v>
      </c>
      <c r="P32" s="11">
        <v>2015.32</v>
      </c>
      <c r="Q32" s="13">
        <f t="shared" si="3"/>
        <v>1.08169155988009</v>
      </c>
      <c r="R32" s="11">
        <v>2015.32</v>
      </c>
      <c r="S32" s="13">
        <f t="shared" si="4"/>
        <v>1.08169155988009</v>
      </c>
      <c r="T32" s="9">
        <v>29706</v>
      </c>
      <c r="U32" s="13">
        <f t="shared" si="5"/>
        <v>15.9442319223737</v>
      </c>
      <c r="V32" s="12">
        <f t="shared" si="6"/>
        <v>0.211352382036542</v>
      </c>
      <c r="W32" s="17">
        <f>COUNTIFS(源数据[日期],源数据[[#This Row],[日期]],源数据[账号id],源数据[[#This Row],[账号id]])</f>
        <v>1</v>
      </c>
      <c r="X32" s="15">
        <f>IFERROR(源数据[[#This Row],[点击量]]/源数据[[#This Row],[展示量]],"")</f>
        <v>0.0414366213216461</v>
      </c>
      <c r="Y32" s="16">
        <f>IFERROR(源数据[[#This Row],[播放量]]/源数据[[#This Row],[展示量]],"")</f>
        <v>0.211352382036542</v>
      </c>
      <c r="Z32" s="16">
        <f>IFERROR(源数据[[#This Row],[三连投放总消耗(毫分)]]/源数据[[#This Row],[播放量]],"")</f>
        <v>0.0627186060055208</v>
      </c>
      <c r="AA3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3" s="2" customFormat="1" spans="1:27">
      <c r="A33" s="7">
        <v>46204</v>
      </c>
      <c r="B33" s="8" t="s">
        <v>159</v>
      </c>
      <c r="C33" s="8" t="s">
        <v>160</v>
      </c>
      <c r="D33" s="8" t="s">
        <v>91</v>
      </c>
      <c r="E33" s="8" t="s">
        <v>92</v>
      </c>
      <c r="F33" s="8" t="s">
        <v>115</v>
      </c>
      <c r="G33" s="9">
        <v>184494</v>
      </c>
      <c r="H33" s="9">
        <v>7826</v>
      </c>
      <c r="I33" s="10">
        <v>1861.68007</v>
      </c>
      <c r="J33" s="11">
        <v>1861.6</v>
      </c>
      <c r="K33" s="12">
        <f t="shared" si="0"/>
        <v>0.0424187236441293</v>
      </c>
      <c r="L33" s="13">
        <f t="shared" si="1"/>
        <v>10.0907350374538</v>
      </c>
      <c r="M33" s="13">
        <f t="shared" si="2"/>
        <v>0.237883985433171</v>
      </c>
      <c r="N33" s="11">
        <v>0</v>
      </c>
      <c r="O33" s="11">
        <v>0</v>
      </c>
      <c r="P33" s="11">
        <v>1912.91</v>
      </c>
      <c r="Q33" s="13">
        <f t="shared" si="3"/>
        <v>1.02751811700922</v>
      </c>
      <c r="R33" s="11">
        <v>1912.91</v>
      </c>
      <c r="S33" s="13">
        <f t="shared" si="4"/>
        <v>1.02751811700922</v>
      </c>
      <c r="T33" s="9">
        <v>37413</v>
      </c>
      <c r="U33" s="13">
        <f t="shared" si="5"/>
        <v>20.096363818301</v>
      </c>
      <c r="V33" s="12">
        <f t="shared" si="6"/>
        <v>0.202787082506748</v>
      </c>
      <c r="W33" s="17">
        <f>COUNTIFS(源数据[日期],源数据[[#This Row],[日期]],源数据[账号id],源数据[[#This Row],[账号id]])</f>
        <v>1</v>
      </c>
      <c r="X33" s="15">
        <f>IFERROR(源数据[[#This Row],[点击量]]/源数据[[#This Row],[展示量]],"")</f>
        <v>0.0424187236441293</v>
      </c>
      <c r="Y33" s="16">
        <f>IFERROR(源数据[[#This Row],[播放量]]/源数据[[#This Row],[展示量]],"")</f>
        <v>0.202787082506748</v>
      </c>
      <c r="Z33" s="16">
        <f>IFERROR(源数据[[#This Row],[三连投放总消耗(毫分)]]/源数据[[#This Row],[播放量]],"")</f>
        <v>0.0497602456365434</v>
      </c>
      <c r="AA3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4" s="2" customFormat="1" spans="1:27">
      <c r="A34" s="7">
        <v>46204</v>
      </c>
      <c r="B34" s="8" t="s">
        <v>161</v>
      </c>
      <c r="C34" s="8" t="s">
        <v>162</v>
      </c>
      <c r="D34" s="8" t="s">
        <v>91</v>
      </c>
      <c r="E34" s="8" t="s">
        <v>92</v>
      </c>
      <c r="F34" s="8" t="s">
        <v>96</v>
      </c>
      <c r="G34" s="9">
        <v>124920</v>
      </c>
      <c r="H34" s="9">
        <v>5535</v>
      </c>
      <c r="I34" s="10">
        <v>1787.082</v>
      </c>
      <c r="J34" s="11">
        <v>1786.94</v>
      </c>
      <c r="K34" s="12">
        <f t="shared" si="0"/>
        <v>0.0443083573487032</v>
      </c>
      <c r="L34" s="13">
        <f t="shared" si="1"/>
        <v>14.3058117195005</v>
      </c>
      <c r="M34" s="13">
        <f t="shared" si="2"/>
        <v>0.322869376693767</v>
      </c>
      <c r="N34" s="11">
        <v>0</v>
      </c>
      <c r="O34" s="11">
        <v>0</v>
      </c>
      <c r="P34" s="11">
        <v>1925.82</v>
      </c>
      <c r="Q34" s="13">
        <f t="shared" si="3"/>
        <v>1.07763381870558</v>
      </c>
      <c r="R34" s="11">
        <v>1925.82</v>
      </c>
      <c r="S34" s="13">
        <f t="shared" si="4"/>
        <v>1.07763381870558</v>
      </c>
      <c r="T34" s="9">
        <v>28245</v>
      </c>
      <c r="U34" s="13">
        <f t="shared" si="5"/>
        <v>15.8050945619731</v>
      </c>
      <c r="V34" s="12">
        <f t="shared" si="6"/>
        <v>0.226104707012488</v>
      </c>
      <c r="W34" s="17">
        <f>COUNTIFS(源数据[日期],源数据[[#This Row],[日期]],源数据[账号id],源数据[[#This Row],[账号id]])</f>
        <v>1</v>
      </c>
      <c r="X34" s="15">
        <f>IFERROR(源数据[[#This Row],[点击量]]/源数据[[#This Row],[展示量]],"")</f>
        <v>0.0443083573487032</v>
      </c>
      <c r="Y34" s="16">
        <f>IFERROR(源数据[[#This Row],[播放量]]/源数据[[#This Row],[展示量]],"")</f>
        <v>0.226104707012488</v>
      </c>
      <c r="Z34" s="16">
        <f>IFERROR(源数据[[#This Row],[三连投放总消耗(毫分)]]/源数据[[#This Row],[播放量]],"")</f>
        <v>0.0632707381837493</v>
      </c>
      <c r="AA3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5" s="2" customFormat="1" spans="1:27">
      <c r="A35" s="7">
        <v>46204</v>
      </c>
      <c r="B35" s="8" t="s">
        <v>163</v>
      </c>
      <c r="C35" s="8" t="s">
        <v>164</v>
      </c>
      <c r="D35" s="8" t="s">
        <v>91</v>
      </c>
      <c r="E35" s="8" t="s">
        <v>92</v>
      </c>
      <c r="F35" s="8" t="s">
        <v>96</v>
      </c>
      <c r="G35" s="9">
        <v>145561</v>
      </c>
      <c r="H35" s="9">
        <v>3203</v>
      </c>
      <c r="I35" s="10">
        <v>1785.00947</v>
      </c>
      <c r="J35" s="11">
        <v>1784.89</v>
      </c>
      <c r="K35" s="12">
        <f t="shared" si="0"/>
        <v>0.0220045204416018</v>
      </c>
      <c r="L35" s="13">
        <f t="shared" si="1"/>
        <v>12.2629651486318</v>
      </c>
      <c r="M35" s="13">
        <f t="shared" si="2"/>
        <v>0.557292997190134</v>
      </c>
      <c r="N35" s="11">
        <v>0</v>
      </c>
      <c r="O35" s="11">
        <v>0</v>
      </c>
      <c r="P35" s="11">
        <v>1847.41</v>
      </c>
      <c r="Q35" s="13">
        <f t="shared" si="3"/>
        <v>1.03495809464809</v>
      </c>
      <c r="R35" s="11">
        <v>1847.41</v>
      </c>
      <c r="S35" s="13">
        <f t="shared" si="4"/>
        <v>1.03495809464809</v>
      </c>
      <c r="T35" s="9">
        <v>26167</v>
      </c>
      <c r="U35" s="13">
        <f t="shared" si="5"/>
        <v>14.659305981161</v>
      </c>
      <c r="V35" s="12">
        <f t="shared" si="6"/>
        <v>0.179766558350108</v>
      </c>
      <c r="W35" s="17">
        <f>COUNTIFS(源数据[日期],源数据[[#This Row],[日期]],源数据[账号id],源数据[[#This Row],[账号id]])</f>
        <v>1</v>
      </c>
      <c r="X35" s="15">
        <f>IFERROR(源数据[[#This Row],[点击量]]/源数据[[#This Row],[展示量]],"")</f>
        <v>0.0220045204416018</v>
      </c>
      <c r="Y35" s="16">
        <f>IFERROR(源数据[[#This Row],[播放量]]/源数据[[#This Row],[展示量]],"")</f>
        <v>0.179766558350108</v>
      </c>
      <c r="Z35" s="16">
        <f>IFERROR(源数据[[#This Row],[三连投放总消耗(毫分)]]/源数据[[#This Row],[播放量]],"")</f>
        <v>0.068216053426071</v>
      </c>
      <c r="AA3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6" s="2" customFormat="1" spans="1:27">
      <c r="A36" s="7">
        <v>46204</v>
      </c>
      <c r="B36" s="8" t="s">
        <v>165</v>
      </c>
      <c r="C36" s="8" t="s">
        <v>166</v>
      </c>
      <c r="D36" s="8" t="s">
        <v>91</v>
      </c>
      <c r="E36" s="8" t="s">
        <v>92</v>
      </c>
      <c r="F36" s="8" t="s">
        <v>96</v>
      </c>
      <c r="G36" s="9">
        <v>352140</v>
      </c>
      <c r="H36" s="9">
        <v>9243</v>
      </c>
      <c r="I36" s="10">
        <v>1743.67938</v>
      </c>
      <c r="J36" s="11">
        <v>1743.57</v>
      </c>
      <c r="K36" s="12">
        <f t="shared" si="0"/>
        <v>0.0262480831487477</v>
      </c>
      <c r="L36" s="13">
        <f t="shared" si="1"/>
        <v>4.95166518998126</v>
      </c>
      <c r="M36" s="13">
        <f t="shared" si="2"/>
        <v>0.188648640051931</v>
      </c>
      <c r="N36" s="11">
        <v>0</v>
      </c>
      <c r="O36" s="11">
        <v>0</v>
      </c>
      <c r="P36" s="11">
        <v>1887.34</v>
      </c>
      <c r="Q36" s="13">
        <f t="shared" si="3"/>
        <v>1.08238935531829</v>
      </c>
      <c r="R36" s="11">
        <v>1887.34</v>
      </c>
      <c r="S36" s="13">
        <f t="shared" si="4"/>
        <v>1.08238935531829</v>
      </c>
      <c r="T36" s="9">
        <v>31771</v>
      </c>
      <c r="U36" s="13">
        <f t="shared" si="5"/>
        <v>18.2206662328025</v>
      </c>
      <c r="V36" s="12">
        <f t="shared" si="6"/>
        <v>0.0902226387232351</v>
      </c>
      <c r="W36" s="17">
        <f>COUNTIFS(源数据[日期],源数据[[#This Row],[日期]],源数据[账号id],源数据[[#This Row],[账号id]])</f>
        <v>1</v>
      </c>
      <c r="X36" s="15">
        <f>IFERROR(源数据[[#This Row],[点击量]]/源数据[[#This Row],[展示量]],"")</f>
        <v>0.0262480831487477</v>
      </c>
      <c r="Y36" s="16">
        <f>IFERROR(源数据[[#This Row],[播放量]]/源数据[[#This Row],[展示量]],"")</f>
        <v>0.0902226387232351</v>
      </c>
      <c r="Z36" s="16">
        <f>IFERROR(源数据[[#This Row],[三连投放总消耗(毫分)]]/源数据[[#This Row],[播放量]],"")</f>
        <v>0.0548827351987662</v>
      </c>
      <c r="AA3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7" s="2" customFormat="1" spans="1:27">
      <c r="A37" s="7">
        <v>46204</v>
      </c>
      <c r="B37" s="8" t="s">
        <v>167</v>
      </c>
      <c r="C37" s="8" t="s">
        <v>168</v>
      </c>
      <c r="D37" s="8" t="s">
        <v>91</v>
      </c>
      <c r="E37" s="8" t="s">
        <v>92</v>
      </c>
      <c r="F37" s="8" t="s">
        <v>93</v>
      </c>
      <c r="G37" s="9">
        <v>124153</v>
      </c>
      <c r="H37" s="9">
        <v>4464</v>
      </c>
      <c r="I37" s="10">
        <v>1679.96917</v>
      </c>
      <c r="J37" s="11">
        <v>1679.87</v>
      </c>
      <c r="K37" s="12">
        <f t="shared" si="0"/>
        <v>0.0359556353853713</v>
      </c>
      <c r="L37" s="13">
        <f t="shared" si="1"/>
        <v>13.5314424137959</v>
      </c>
      <c r="M37" s="13">
        <f t="shared" si="2"/>
        <v>0.376337179659498</v>
      </c>
      <c r="N37" s="11">
        <v>0</v>
      </c>
      <c r="O37" s="11">
        <v>0</v>
      </c>
      <c r="P37" s="11">
        <v>1761.49</v>
      </c>
      <c r="Q37" s="13">
        <f t="shared" si="3"/>
        <v>1.04852519406651</v>
      </c>
      <c r="R37" s="11">
        <v>1761.49</v>
      </c>
      <c r="S37" s="13">
        <f t="shared" si="4"/>
        <v>1.04852519406651</v>
      </c>
      <c r="T37" s="9">
        <v>25817</v>
      </c>
      <c r="U37" s="13">
        <f t="shared" si="5"/>
        <v>15.3675439174875</v>
      </c>
      <c r="V37" s="12">
        <f t="shared" si="6"/>
        <v>0.207945035560961</v>
      </c>
      <c r="W37" s="17">
        <f>COUNTIFS(源数据[日期],源数据[[#This Row],[日期]],源数据[账号id],源数据[[#This Row],[账号id]])</f>
        <v>1</v>
      </c>
      <c r="X37" s="15">
        <f>IFERROR(源数据[[#This Row],[点击量]]/源数据[[#This Row],[展示量]],"")</f>
        <v>0.0359556353853713</v>
      </c>
      <c r="Y37" s="16">
        <f>IFERROR(源数据[[#This Row],[播放量]]/源数据[[#This Row],[展示量]],"")</f>
        <v>0.207945035560961</v>
      </c>
      <c r="Z37" s="16">
        <f>IFERROR(源数据[[#This Row],[三连投放总消耗(毫分)]]/源数据[[#This Row],[播放量]],"")</f>
        <v>0.065072207072859</v>
      </c>
      <c r="AA3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8" s="2" customFormat="1" spans="1:27">
      <c r="A38" s="7">
        <v>46204</v>
      </c>
      <c r="B38" s="8" t="s">
        <v>169</v>
      </c>
      <c r="C38" s="8" t="s">
        <v>170</v>
      </c>
      <c r="D38" s="8" t="s">
        <v>91</v>
      </c>
      <c r="E38" s="8" t="s">
        <v>92</v>
      </c>
      <c r="F38" s="8" t="s">
        <v>96</v>
      </c>
      <c r="G38" s="9">
        <v>152481</v>
      </c>
      <c r="H38" s="9">
        <v>1941</v>
      </c>
      <c r="I38" s="10">
        <v>1515.66987</v>
      </c>
      <c r="J38" s="11">
        <v>1515.56</v>
      </c>
      <c r="K38" s="12">
        <f t="shared" si="0"/>
        <v>0.0127294548173215</v>
      </c>
      <c r="L38" s="13">
        <f t="shared" si="1"/>
        <v>9.9400572530348</v>
      </c>
      <c r="M38" s="13">
        <f t="shared" si="2"/>
        <v>0.780870618238022</v>
      </c>
      <c r="N38" s="11">
        <v>0</v>
      </c>
      <c r="O38" s="11">
        <v>0</v>
      </c>
      <c r="P38" s="11">
        <v>1557.43</v>
      </c>
      <c r="Q38" s="13">
        <f t="shared" si="3"/>
        <v>1.02755225978069</v>
      </c>
      <c r="R38" s="11">
        <v>1557.43</v>
      </c>
      <c r="S38" s="13">
        <f t="shared" si="4"/>
        <v>1.02755225978069</v>
      </c>
      <c r="T38" s="9">
        <v>25814</v>
      </c>
      <c r="U38" s="13">
        <f t="shared" si="5"/>
        <v>17.03141331166</v>
      </c>
      <c r="V38" s="12">
        <f t="shared" si="6"/>
        <v>0.169293223418</v>
      </c>
      <c r="W38" s="17">
        <f>COUNTIFS(源数据[日期],源数据[[#This Row],[日期]],源数据[账号id],源数据[[#This Row],[账号id]])</f>
        <v>1</v>
      </c>
      <c r="X38" s="15">
        <f>IFERROR(源数据[[#This Row],[点击量]]/源数据[[#This Row],[展示量]],"")</f>
        <v>0.0127294548173215</v>
      </c>
      <c r="Y38" s="16">
        <f>IFERROR(源数据[[#This Row],[播放量]]/源数据[[#This Row],[展示量]],"")</f>
        <v>0.169293223418</v>
      </c>
      <c r="Z38" s="16">
        <f>IFERROR(源数据[[#This Row],[三连投放总消耗(毫分)]]/源数据[[#This Row],[播放量]],"")</f>
        <v>0.0587150333152553</v>
      </c>
      <c r="AA3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9" s="2" customFormat="1" spans="1:27">
      <c r="A39" s="7">
        <v>46204</v>
      </c>
      <c r="B39" s="8" t="s">
        <v>171</v>
      </c>
      <c r="C39" s="8" t="s">
        <v>172</v>
      </c>
      <c r="D39" s="8" t="s">
        <v>91</v>
      </c>
      <c r="E39" s="8" t="s">
        <v>92</v>
      </c>
      <c r="F39" s="8" t="s">
        <v>96</v>
      </c>
      <c r="G39" s="9">
        <v>115298</v>
      </c>
      <c r="H39" s="9">
        <v>4234</v>
      </c>
      <c r="I39" s="10">
        <v>1495.26452</v>
      </c>
      <c r="J39" s="11">
        <v>1495.16</v>
      </c>
      <c r="K39" s="12">
        <f t="shared" si="0"/>
        <v>0.0367222328227723</v>
      </c>
      <c r="L39" s="13">
        <f t="shared" si="1"/>
        <v>12.9686943398845</v>
      </c>
      <c r="M39" s="13">
        <f t="shared" si="2"/>
        <v>0.353156476145489</v>
      </c>
      <c r="N39" s="11">
        <v>0</v>
      </c>
      <c r="O39" s="11">
        <v>0</v>
      </c>
      <c r="P39" s="11">
        <v>1615.75</v>
      </c>
      <c r="Q39" s="13">
        <f t="shared" si="3"/>
        <v>1.08057803712215</v>
      </c>
      <c r="R39" s="11">
        <v>1615.75</v>
      </c>
      <c r="S39" s="13">
        <f t="shared" si="4"/>
        <v>1.08057803712215</v>
      </c>
      <c r="T39" s="9">
        <v>24699</v>
      </c>
      <c r="U39" s="13">
        <f t="shared" si="5"/>
        <v>16.5181475716417</v>
      </c>
      <c r="V39" s="12">
        <f t="shared" si="6"/>
        <v>0.214218806917726</v>
      </c>
      <c r="W39" s="17">
        <f>COUNTIFS(源数据[日期],源数据[[#This Row],[日期]],源数据[账号id],源数据[[#This Row],[账号id]])</f>
        <v>1</v>
      </c>
      <c r="X39" s="15">
        <f>IFERROR(源数据[[#This Row],[点击量]]/源数据[[#This Row],[展示量]],"")</f>
        <v>0.0367222328227723</v>
      </c>
      <c r="Y39" s="16">
        <f>IFERROR(源数据[[#This Row],[播放量]]/源数据[[#This Row],[展示量]],"")</f>
        <v>0.214218806917726</v>
      </c>
      <c r="Z39" s="16">
        <f>IFERROR(源数据[[#This Row],[三连投放总消耗(毫分)]]/源数据[[#This Row],[播放量]],"")</f>
        <v>0.0605394760921495</v>
      </c>
      <c r="AA3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0" s="2" customFormat="1" spans="1:27">
      <c r="A40" s="7">
        <v>46204</v>
      </c>
      <c r="B40" s="8" t="s">
        <v>173</v>
      </c>
      <c r="C40" s="8" t="s">
        <v>174</v>
      </c>
      <c r="D40" s="8" t="s">
        <v>91</v>
      </c>
      <c r="E40" s="8" t="s">
        <v>92</v>
      </c>
      <c r="F40" s="8" t="s">
        <v>96</v>
      </c>
      <c r="G40" s="9">
        <v>102004</v>
      </c>
      <c r="H40" s="9">
        <v>3468</v>
      </c>
      <c r="I40" s="10">
        <v>1442.07401</v>
      </c>
      <c r="J40" s="11">
        <v>1441.97</v>
      </c>
      <c r="K40" s="12">
        <f t="shared" si="0"/>
        <v>0.0339986667189522</v>
      </c>
      <c r="L40" s="13">
        <f t="shared" si="1"/>
        <v>14.1374260813301</v>
      </c>
      <c r="M40" s="13">
        <f t="shared" si="2"/>
        <v>0.415822955594002</v>
      </c>
      <c r="N40" s="11">
        <v>0</v>
      </c>
      <c r="O40" s="11">
        <v>0</v>
      </c>
      <c r="P40" s="11">
        <v>1567.76</v>
      </c>
      <c r="Q40" s="13">
        <f t="shared" si="3"/>
        <v>1.08715640745789</v>
      </c>
      <c r="R40" s="11">
        <v>1567.76</v>
      </c>
      <c r="S40" s="13">
        <f t="shared" si="4"/>
        <v>1.08715640745789</v>
      </c>
      <c r="T40" s="9">
        <v>30561</v>
      </c>
      <c r="U40" s="13">
        <f t="shared" si="5"/>
        <v>21.1923935859575</v>
      </c>
      <c r="V40" s="12">
        <f t="shared" si="6"/>
        <v>0.299605897807929</v>
      </c>
      <c r="W40" s="17">
        <f>COUNTIFS(源数据[日期],源数据[[#This Row],[日期]],源数据[账号id],源数据[[#This Row],[账号id]])</f>
        <v>1</v>
      </c>
      <c r="X40" s="15">
        <f>IFERROR(源数据[[#This Row],[点击量]]/源数据[[#This Row],[展示量]],"")</f>
        <v>0.0339986667189522</v>
      </c>
      <c r="Y40" s="16">
        <f>IFERROR(源数据[[#This Row],[播放量]]/源数据[[#This Row],[展示量]],"")</f>
        <v>0.299605897807929</v>
      </c>
      <c r="Z40" s="16">
        <f>IFERROR(源数据[[#This Row],[三连投放总消耗(毫分)]]/源数据[[#This Row],[播放量]],"")</f>
        <v>0.0471867415987697</v>
      </c>
      <c r="AA4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1" s="2" customFormat="1" spans="1:27">
      <c r="A41" s="7">
        <v>46204</v>
      </c>
      <c r="B41" s="8" t="s">
        <v>175</v>
      </c>
      <c r="C41" s="8" t="s">
        <v>176</v>
      </c>
      <c r="D41" s="8" t="s">
        <v>91</v>
      </c>
      <c r="E41" s="8" t="s">
        <v>92</v>
      </c>
      <c r="F41" s="8" t="s">
        <v>96</v>
      </c>
      <c r="G41" s="9">
        <v>297041</v>
      </c>
      <c r="H41" s="9">
        <v>9906</v>
      </c>
      <c r="I41" s="10">
        <v>1427.32467</v>
      </c>
      <c r="J41" s="11">
        <v>1427.23</v>
      </c>
      <c r="K41" s="12">
        <f t="shared" si="0"/>
        <v>0.033348931628967</v>
      </c>
      <c r="L41" s="13">
        <f t="shared" si="1"/>
        <v>4.80514363337048</v>
      </c>
      <c r="M41" s="13">
        <f t="shared" si="2"/>
        <v>0.144086883706844</v>
      </c>
      <c r="N41" s="11">
        <v>0</v>
      </c>
      <c r="O41" s="11">
        <v>0</v>
      </c>
      <c r="P41" s="11">
        <v>1459.2</v>
      </c>
      <c r="Q41" s="13">
        <f t="shared" si="3"/>
        <v>1.02233222102158</v>
      </c>
      <c r="R41" s="11">
        <v>1459.2</v>
      </c>
      <c r="S41" s="13">
        <f t="shared" si="4"/>
        <v>1.02233222102158</v>
      </c>
      <c r="T41" s="9">
        <v>22449</v>
      </c>
      <c r="U41" s="13">
        <f t="shared" si="5"/>
        <v>15.7280263361524</v>
      </c>
      <c r="V41" s="12">
        <f t="shared" si="6"/>
        <v>0.0755754256146458</v>
      </c>
      <c r="W41" s="17">
        <f>COUNTIFS(源数据[日期],源数据[[#This Row],[日期]],源数据[账号id],源数据[[#This Row],[账号id]])</f>
        <v>1</v>
      </c>
      <c r="X41" s="15">
        <f>IFERROR(源数据[[#This Row],[点击量]]/源数据[[#This Row],[展示量]],"")</f>
        <v>0.033348931628967</v>
      </c>
      <c r="Y41" s="16">
        <f>IFERROR(源数据[[#This Row],[播放量]]/源数据[[#This Row],[展示量]],"")</f>
        <v>0.0755754256146458</v>
      </c>
      <c r="Z41" s="16">
        <f>IFERROR(源数据[[#This Row],[三连投放总消耗(毫分)]]/源数据[[#This Row],[播放量]],"")</f>
        <v>0.0635807684083924</v>
      </c>
      <c r="AA4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2" s="2" customFormat="1" spans="1:27">
      <c r="A42" s="7">
        <v>46204</v>
      </c>
      <c r="B42" s="8" t="s">
        <v>177</v>
      </c>
      <c r="C42" s="8" t="s">
        <v>178</v>
      </c>
      <c r="D42" s="8" t="s">
        <v>91</v>
      </c>
      <c r="E42" s="8" t="s">
        <v>92</v>
      </c>
      <c r="F42" s="8" t="s">
        <v>115</v>
      </c>
      <c r="G42" s="9">
        <v>109718</v>
      </c>
      <c r="H42" s="9">
        <v>4124</v>
      </c>
      <c r="I42" s="10">
        <v>1392.12887</v>
      </c>
      <c r="J42" s="11">
        <v>1392.04</v>
      </c>
      <c r="K42" s="12">
        <f t="shared" si="0"/>
        <v>0.0375872691809913</v>
      </c>
      <c r="L42" s="13">
        <f t="shared" si="1"/>
        <v>12.6882450463917</v>
      </c>
      <c r="M42" s="13">
        <f t="shared" si="2"/>
        <v>0.337567621241513</v>
      </c>
      <c r="N42" s="11">
        <v>0</v>
      </c>
      <c r="O42" s="11">
        <v>0</v>
      </c>
      <c r="P42" s="11">
        <v>1417.87</v>
      </c>
      <c r="Q42" s="13">
        <f t="shared" si="3"/>
        <v>1.01849047926145</v>
      </c>
      <c r="R42" s="11">
        <v>1417.87</v>
      </c>
      <c r="S42" s="13">
        <f t="shared" si="4"/>
        <v>1.01849047926145</v>
      </c>
      <c r="T42" s="9">
        <v>23848</v>
      </c>
      <c r="U42" s="13">
        <f t="shared" si="5"/>
        <v>17.1305979740223</v>
      </c>
      <c r="V42" s="12">
        <f t="shared" si="6"/>
        <v>0.217357224885616</v>
      </c>
      <c r="W42" s="17">
        <f>COUNTIFS(源数据[日期],源数据[[#This Row],[日期]],源数据[账号id],源数据[[#This Row],[账号id]])</f>
        <v>1</v>
      </c>
      <c r="X42" s="15">
        <f>IFERROR(源数据[[#This Row],[点击量]]/源数据[[#This Row],[展示量]],"")</f>
        <v>0.0375872691809913</v>
      </c>
      <c r="Y42" s="16">
        <f>IFERROR(源数据[[#This Row],[播放量]]/源数据[[#This Row],[展示量]],"")</f>
        <v>0.217357224885616</v>
      </c>
      <c r="Z42" s="16">
        <f>IFERROR(源数据[[#This Row],[三连投放总消耗(毫分)]]/源数据[[#This Row],[播放量]],"")</f>
        <v>0.0583750784132841</v>
      </c>
      <c r="AA4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3" s="2" customFormat="1" spans="1:27">
      <c r="A43" s="7">
        <v>46204</v>
      </c>
      <c r="B43" s="8" t="s">
        <v>179</v>
      </c>
      <c r="C43" s="8" t="s">
        <v>180</v>
      </c>
      <c r="D43" s="8" t="s">
        <v>91</v>
      </c>
      <c r="E43" s="8" t="s">
        <v>92</v>
      </c>
      <c r="F43" s="8" t="s">
        <v>96</v>
      </c>
      <c r="G43" s="9">
        <v>97663</v>
      </c>
      <c r="H43" s="9">
        <v>3830</v>
      </c>
      <c r="I43" s="10">
        <v>1339.8899</v>
      </c>
      <c r="J43" s="11">
        <v>1339.88</v>
      </c>
      <c r="K43" s="12">
        <f t="shared" si="0"/>
        <v>0.0392164893562557</v>
      </c>
      <c r="L43" s="13">
        <f t="shared" si="1"/>
        <v>13.7195242824816</v>
      </c>
      <c r="M43" s="13">
        <f t="shared" si="2"/>
        <v>0.349840704960835</v>
      </c>
      <c r="N43" s="11">
        <v>0</v>
      </c>
      <c r="O43" s="11">
        <v>0</v>
      </c>
      <c r="P43" s="11">
        <v>1235.47</v>
      </c>
      <c r="Q43" s="13">
        <f t="shared" si="3"/>
        <v>0.922068298298241</v>
      </c>
      <c r="R43" s="11">
        <v>1235.47</v>
      </c>
      <c r="S43" s="13">
        <f t="shared" si="4"/>
        <v>0.922068298298241</v>
      </c>
      <c r="T43" s="9">
        <v>24182</v>
      </c>
      <c r="U43" s="13">
        <f t="shared" si="5"/>
        <v>18.047751535406</v>
      </c>
      <c r="V43" s="12">
        <f t="shared" si="6"/>
        <v>0.247606565434197</v>
      </c>
      <c r="W43" s="17">
        <f>COUNTIFS(源数据[日期],源数据[[#This Row],[日期]],源数据[账号id],源数据[[#This Row],[账号id]])</f>
        <v>1</v>
      </c>
      <c r="X43" s="15">
        <f>IFERROR(源数据[[#This Row],[点击量]]/源数据[[#This Row],[展示量]],"")</f>
        <v>0.0392164893562557</v>
      </c>
      <c r="Y43" s="16">
        <f>IFERROR(源数据[[#This Row],[播放量]]/源数据[[#This Row],[展示量]],"")</f>
        <v>0.247606565434197</v>
      </c>
      <c r="Z43" s="16">
        <f>IFERROR(源数据[[#This Row],[三连投放总消耗(毫分)]]/源数据[[#This Row],[播放量]],"")</f>
        <v>0.0554085642213216</v>
      </c>
      <c r="AA4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4" s="2" customFormat="1" spans="1:27">
      <c r="A44" s="7">
        <v>46204</v>
      </c>
      <c r="B44" s="8" t="s">
        <v>181</v>
      </c>
      <c r="C44" s="8" t="s">
        <v>182</v>
      </c>
      <c r="D44" s="8" t="s">
        <v>91</v>
      </c>
      <c r="E44" s="8" t="s">
        <v>92</v>
      </c>
      <c r="F44" s="8" t="s">
        <v>110</v>
      </c>
      <c r="G44" s="9">
        <v>198155</v>
      </c>
      <c r="H44" s="9">
        <v>10206</v>
      </c>
      <c r="I44" s="10">
        <v>1334.57001</v>
      </c>
      <c r="J44" s="11">
        <v>1334.47</v>
      </c>
      <c r="K44" s="12">
        <f t="shared" si="0"/>
        <v>0.0515051348691681</v>
      </c>
      <c r="L44" s="13">
        <f t="shared" si="1"/>
        <v>6.73498024273927</v>
      </c>
      <c r="M44" s="13">
        <f t="shared" si="2"/>
        <v>0.130763277483833</v>
      </c>
      <c r="N44" s="11">
        <v>294.51</v>
      </c>
      <c r="O44" s="11">
        <v>294.51</v>
      </c>
      <c r="P44" s="11">
        <v>998.33</v>
      </c>
      <c r="Q44" s="13">
        <f t="shared" si="3"/>
        <v>0.7480536746064</v>
      </c>
      <c r="R44" s="11">
        <v>1292.84</v>
      </c>
      <c r="S44" s="13">
        <f t="shared" si="4"/>
        <v>0.968731494273575</v>
      </c>
      <c r="T44" s="9">
        <v>19686</v>
      </c>
      <c r="U44" s="13">
        <f t="shared" si="5"/>
        <v>14.7508185052053</v>
      </c>
      <c r="V44" s="12">
        <f t="shared" si="6"/>
        <v>0.0993464711967904</v>
      </c>
      <c r="W44" s="17">
        <f>COUNTIFS(源数据[日期],源数据[[#This Row],[日期]],源数据[账号id],源数据[[#This Row],[账号id]])</f>
        <v>1</v>
      </c>
      <c r="X44" s="15">
        <f>IFERROR(源数据[[#This Row],[点击量]]/源数据[[#This Row],[展示量]],"")</f>
        <v>0.0515051348691681</v>
      </c>
      <c r="Y44" s="16">
        <f>IFERROR(源数据[[#This Row],[播放量]]/源数据[[#This Row],[展示量]],"")</f>
        <v>0.0993464711967904</v>
      </c>
      <c r="Z44" s="16">
        <f>IFERROR(源数据[[#This Row],[三连投放总消耗(毫分)]]/源数据[[#This Row],[播放量]],"")</f>
        <v>0.067792848217007</v>
      </c>
      <c r="AA4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5" s="2" customFormat="1" spans="1:27">
      <c r="A45" s="7">
        <v>46204</v>
      </c>
      <c r="B45" s="8" t="s">
        <v>183</v>
      </c>
      <c r="C45" s="8" t="s">
        <v>184</v>
      </c>
      <c r="D45" s="8" t="s">
        <v>91</v>
      </c>
      <c r="E45" s="8" t="s">
        <v>92</v>
      </c>
      <c r="F45" s="8" t="s">
        <v>93</v>
      </c>
      <c r="G45" s="9">
        <v>105516</v>
      </c>
      <c r="H45" s="9">
        <v>3789</v>
      </c>
      <c r="I45" s="10">
        <v>1286.70197</v>
      </c>
      <c r="J45" s="11">
        <v>1286.63</v>
      </c>
      <c r="K45" s="12">
        <f t="shared" si="0"/>
        <v>0.0359092459911293</v>
      </c>
      <c r="L45" s="13">
        <f t="shared" si="1"/>
        <v>12.1943778194776</v>
      </c>
      <c r="M45" s="13">
        <f t="shared" si="2"/>
        <v>0.339588801794669</v>
      </c>
      <c r="N45" s="11">
        <v>0</v>
      </c>
      <c r="O45" s="11">
        <v>0</v>
      </c>
      <c r="P45" s="11">
        <v>1287.23</v>
      </c>
      <c r="Q45" s="13">
        <f t="shared" si="3"/>
        <v>1.00041037475057</v>
      </c>
      <c r="R45" s="11">
        <v>1287.23</v>
      </c>
      <c r="S45" s="13">
        <f t="shared" si="4"/>
        <v>1.00041037475057</v>
      </c>
      <c r="T45" s="9">
        <v>20932</v>
      </c>
      <c r="U45" s="13">
        <f t="shared" si="5"/>
        <v>16.2679474253078</v>
      </c>
      <c r="V45" s="12">
        <f t="shared" si="6"/>
        <v>0.198377497251602</v>
      </c>
      <c r="W45" s="17">
        <f>COUNTIFS(源数据[日期],源数据[[#This Row],[日期]],源数据[账号id],源数据[[#This Row],[账号id]])</f>
        <v>1</v>
      </c>
      <c r="X45" s="15">
        <f>IFERROR(源数据[[#This Row],[点击量]]/源数据[[#This Row],[展示量]],"")</f>
        <v>0.0359092459911293</v>
      </c>
      <c r="Y45" s="16">
        <f>IFERROR(源数据[[#This Row],[播放量]]/源数据[[#This Row],[展示量]],"")</f>
        <v>0.198377497251602</v>
      </c>
      <c r="Z45" s="16">
        <f>IFERROR(源数据[[#This Row],[三连投放总消耗(毫分)]]/源数据[[#This Row],[播放量]],"")</f>
        <v>0.0614705699407606</v>
      </c>
      <c r="AA4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6" s="2" customFormat="1" spans="1:27">
      <c r="A46" s="7">
        <v>46204</v>
      </c>
      <c r="B46" s="8" t="s">
        <v>185</v>
      </c>
      <c r="C46" s="8" t="s">
        <v>186</v>
      </c>
      <c r="D46" s="8" t="s">
        <v>91</v>
      </c>
      <c r="E46" s="8" t="s">
        <v>92</v>
      </c>
      <c r="F46" s="8" t="s">
        <v>96</v>
      </c>
      <c r="G46" s="9">
        <v>116630</v>
      </c>
      <c r="H46" s="9">
        <v>5612</v>
      </c>
      <c r="I46" s="10">
        <v>1283.63767</v>
      </c>
      <c r="J46" s="11">
        <v>1283.51</v>
      </c>
      <c r="K46" s="12">
        <f t="shared" si="0"/>
        <v>0.0481179799365515</v>
      </c>
      <c r="L46" s="13">
        <f t="shared" si="1"/>
        <v>11.0060676498328</v>
      </c>
      <c r="M46" s="13">
        <f t="shared" si="2"/>
        <v>0.228730874910905</v>
      </c>
      <c r="N46" s="11">
        <v>0</v>
      </c>
      <c r="O46" s="11">
        <v>0</v>
      </c>
      <c r="P46" s="11">
        <v>1369.91</v>
      </c>
      <c r="Q46" s="13">
        <f t="shared" si="3"/>
        <v>1.06720925383874</v>
      </c>
      <c r="R46" s="11">
        <v>1369.91</v>
      </c>
      <c r="S46" s="13">
        <f t="shared" si="4"/>
        <v>1.06720925383874</v>
      </c>
      <c r="T46" s="9">
        <v>22080</v>
      </c>
      <c r="U46" s="13">
        <f t="shared" si="5"/>
        <v>17.2011156388079</v>
      </c>
      <c r="V46" s="12">
        <f t="shared" si="6"/>
        <v>0.189316642373317</v>
      </c>
      <c r="W46" s="17">
        <f>COUNTIFS(源数据[日期],源数据[[#This Row],[日期]],源数据[账号id],源数据[[#This Row],[账号id]])</f>
        <v>1</v>
      </c>
      <c r="X46" s="15">
        <f>IFERROR(源数据[[#This Row],[点击量]]/源数据[[#This Row],[展示量]],"")</f>
        <v>0.0481179799365515</v>
      </c>
      <c r="Y46" s="16">
        <f>IFERROR(源数据[[#This Row],[播放量]]/源数据[[#This Row],[展示量]],"")</f>
        <v>0.189316642373317</v>
      </c>
      <c r="Z46" s="16">
        <f>IFERROR(源数据[[#This Row],[三连投放总消耗(毫分)]]/源数据[[#This Row],[播放量]],"")</f>
        <v>0.0581357640398551</v>
      </c>
      <c r="AA4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7" s="2" customFormat="1" spans="1:27">
      <c r="A47" s="7">
        <v>46204</v>
      </c>
      <c r="B47" s="8" t="s">
        <v>187</v>
      </c>
      <c r="C47" s="8" t="s">
        <v>188</v>
      </c>
      <c r="D47" s="8" t="s">
        <v>91</v>
      </c>
      <c r="E47" s="8" t="s">
        <v>92</v>
      </c>
      <c r="F47" s="8" t="s">
        <v>115</v>
      </c>
      <c r="G47" s="9">
        <v>229278</v>
      </c>
      <c r="H47" s="9">
        <v>10019</v>
      </c>
      <c r="I47" s="10">
        <v>1281.22965</v>
      </c>
      <c r="J47" s="11">
        <v>1281.1</v>
      </c>
      <c r="K47" s="12">
        <f t="shared" si="0"/>
        <v>0.0436980434232678</v>
      </c>
      <c r="L47" s="13">
        <f t="shared" si="1"/>
        <v>5.58810548766127</v>
      </c>
      <c r="M47" s="13">
        <f t="shared" si="2"/>
        <v>0.127879993013275</v>
      </c>
      <c r="N47" s="11">
        <v>0</v>
      </c>
      <c r="O47" s="11">
        <v>0</v>
      </c>
      <c r="P47" s="11">
        <v>1385.58</v>
      </c>
      <c r="Q47" s="13">
        <f t="shared" si="3"/>
        <v>1.08144546920218</v>
      </c>
      <c r="R47" s="11">
        <v>1385.58</v>
      </c>
      <c r="S47" s="13">
        <f t="shared" si="4"/>
        <v>1.08144546920218</v>
      </c>
      <c r="T47" s="9">
        <v>25479</v>
      </c>
      <c r="U47" s="13">
        <f t="shared" si="5"/>
        <v>19.8863646341622</v>
      </c>
      <c r="V47" s="12">
        <f t="shared" si="6"/>
        <v>0.111127103341795</v>
      </c>
      <c r="W47" s="17">
        <f>COUNTIFS(源数据[日期],源数据[[#This Row],[日期]],源数据[账号id],源数据[[#This Row],[账号id]])</f>
        <v>1</v>
      </c>
      <c r="X47" s="15">
        <f>IFERROR(源数据[[#This Row],[点击量]]/源数据[[#This Row],[展示量]],"")</f>
        <v>0.0436980434232678</v>
      </c>
      <c r="Y47" s="16">
        <f>IFERROR(源数据[[#This Row],[播放量]]/源数据[[#This Row],[展示量]],"")</f>
        <v>0.111127103341795</v>
      </c>
      <c r="Z47" s="16">
        <f>IFERROR(源数据[[#This Row],[三连投放总消耗(毫分)]]/源数据[[#This Row],[播放量]],"")</f>
        <v>0.050285711762628</v>
      </c>
      <c r="AA4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8" s="2" customFormat="1" spans="1:27">
      <c r="A48" s="7">
        <v>46204</v>
      </c>
      <c r="B48" s="8" t="s">
        <v>189</v>
      </c>
      <c r="C48" s="8" t="s">
        <v>190</v>
      </c>
      <c r="D48" s="8" t="s">
        <v>91</v>
      </c>
      <c r="E48" s="8" t="s">
        <v>92</v>
      </c>
      <c r="F48" s="8" t="s">
        <v>96</v>
      </c>
      <c r="G48" s="9">
        <v>104033</v>
      </c>
      <c r="H48" s="9">
        <v>4539</v>
      </c>
      <c r="I48" s="10">
        <v>1266.33605</v>
      </c>
      <c r="J48" s="11">
        <v>1266.24</v>
      </c>
      <c r="K48" s="12">
        <f t="shared" si="0"/>
        <v>0.0436303865119722</v>
      </c>
      <c r="L48" s="13">
        <f t="shared" si="1"/>
        <v>12.1724457624023</v>
      </c>
      <c r="M48" s="13">
        <f t="shared" si="2"/>
        <v>0.278990096937651</v>
      </c>
      <c r="N48" s="11">
        <v>0</v>
      </c>
      <c r="O48" s="11">
        <v>0</v>
      </c>
      <c r="P48" s="11">
        <v>1357.22</v>
      </c>
      <c r="Q48" s="13">
        <f t="shared" si="3"/>
        <v>1.07176921955274</v>
      </c>
      <c r="R48" s="11">
        <v>1357.22</v>
      </c>
      <c r="S48" s="13">
        <f t="shared" si="4"/>
        <v>1.07176921955274</v>
      </c>
      <c r="T48" s="9">
        <v>23050</v>
      </c>
      <c r="U48" s="13">
        <f t="shared" si="5"/>
        <v>18.2021194137212</v>
      </c>
      <c r="V48" s="12">
        <f t="shared" si="6"/>
        <v>0.221564311324291</v>
      </c>
      <c r="W48" s="17">
        <f>COUNTIFS(源数据[日期],源数据[[#This Row],[日期]],源数据[账号id],源数据[[#This Row],[账号id]])</f>
        <v>1</v>
      </c>
      <c r="X48" s="15">
        <f>IFERROR(源数据[[#This Row],[点击量]]/源数据[[#This Row],[展示量]],"")</f>
        <v>0.0436303865119722</v>
      </c>
      <c r="Y48" s="16">
        <f>IFERROR(源数据[[#This Row],[播放量]]/源数据[[#This Row],[展示量]],"")</f>
        <v>0.221564311324291</v>
      </c>
      <c r="Z48" s="16">
        <f>IFERROR(源数据[[#This Row],[三连投放总消耗(毫分)]]/源数据[[#This Row],[播放量]],"")</f>
        <v>0.0549386572668113</v>
      </c>
      <c r="AA4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9" s="2" customFormat="1" spans="1:27">
      <c r="A49" s="7">
        <v>46204</v>
      </c>
      <c r="B49" s="8" t="s">
        <v>191</v>
      </c>
      <c r="C49" s="8" t="s">
        <v>192</v>
      </c>
      <c r="D49" s="8" t="s">
        <v>91</v>
      </c>
      <c r="E49" s="8" t="s">
        <v>92</v>
      </c>
      <c r="F49" s="8" t="s">
        <v>96</v>
      </c>
      <c r="G49" s="9">
        <v>306748</v>
      </c>
      <c r="H49" s="9">
        <v>17570</v>
      </c>
      <c r="I49" s="10">
        <v>1261.57465</v>
      </c>
      <c r="J49" s="11">
        <v>1261.47</v>
      </c>
      <c r="K49" s="12">
        <f t="shared" si="0"/>
        <v>0.0572782870629963</v>
      </c>
      <c r="L49" s="13">
        <f t="shared" si="1"/>
        <v>4.11273961036421</v>
      </c>
      <c r="M49" s="13">
        <f t="shared" si="2"/>
        <v>0.0718027689243028</v>
      </c>
      <c r="N49" s="11">
        <v>0</v>
      </c>
      <c r="O49" s="11">
        <v>0</v>
      </c>
      <c r="P49" s="11">
        <v>1371.34</v>
      </c>
      <c r="Q49" s="13">
        <f t="shared" si="3"/>
        <v>1.08700662303257</v>
      </c>
      <c r="R49" s="11">
        <v>1371.34</v>
      </c>
      <c r="S49" s="13">
        <f t="shared" si="4"/>
        <v>1.08700662303257</v>
      </c>
      <c r="T49" s="9">
        <v>24040</v>
      </c>
      <c r="U49" s="13">
        <f t="shared" si="5"/>
        <v>19.0555509339063</v>
      </c>
      <c r="V49" s="12">
        <f t="shared" si="6"/>
        <v>0.0783705191231891</v>
      </c>
      <c r="W49" s="17">
        <f>COUNTIFS(源数据[日期],源数据[[#This Row],[日期]],源数据[账号id],源数据[[#This Row],[账号id]])</f>
        <v>1</v>
      </c>
      <c r="X49" s="15">
        <f>IFERROR(源数据[[#This Row],[点击量]]/源数据[[#This Row],[展示量]],"")</f>
        <v>0.0572782870629963</v>
      </c>
      <c r="Y49" s="16">
        <f>IFERROR(源数据[[#This Row],[播放量]]/源数据[[#This Row],[展示量]],"")</f>
        <v>0.0783705191231891</v>
      </c>
      <c r="Z49" s="16">
        <f>IFERROR(源数据[[#This Row],[三连投放总消耗(毫分)]]/源数据[[#This Row],[播放量]],"")</f>
        <v>0.0524781468386023</v>
      </c>
      <c r="AA4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0" s="2" customFormat="1" spans="1:27">
      <c r="A50" s="7">
        <v>46204</v>
      </c>
      <c r="B50" s="8" t="s">
        <v>193</v>
      </c>
      <c r="C50" s="8" t="s">
        <v>194</v>
      </c>
      <c r="D50" s="8" t="s">
        <v>91</v>
      </c>
      <c r="E50" s="8" t="s">
        <v>92</v>
      </c>
      <c r="F50" s="8" t="s">
        <v>96</v>
      </c>
      <c r="G50" s="9">
        <v>278282</v>
      </c>
      <c r="H50" s="9">
        <v>24153</v>
      </c>
      <c r="I50" s="10">
        <v>1228.55712</v>
      </c>
      <c r="J50" s="11">
        <v>1228.43</v>
      </c>
      <c r="K50" s="12">
        <f t="shared" si="0"/>
        <v>0.0867932528873589</v>
      </c>
      <c r="L50" s="13">
        <f t="shared" si="1"/>
        <v>4.41479190173996</v>
      </c>
      <c r="M50" s="13">
        <f t="shared" si="2"/>
        <v>0.0508656117252515</v>
      </c>
      <c r="N50" s="11">
        <v>0</v>
      </c>
      <c r="O50" s="11">
        <v>0</v>
      </c>
      <c r="P50" s="11">
        <v>1327.25</v>
      </c>
      <c r="Q50" s="13">
        <f t="shared" si="3"/>
        <v>1.08033234954513</v>
      </c>
      <c r="R50" s="11">
        <v>1327.25</v>
      </c>
      <c r="S50" s="13">
        <f t="shared" si="4"/>
        <v>1.08033234954513</v>
      </c>
      <c r="T50" s="9">
        <v>32850</v>
      </c>
      <c r="U50" s="13">
        <f t="shared" si="5"/>
        <v>26.7386835054116</v>
      </c>
      <c r="V50" s="12">
        <f t="shared" si="6"/>
        <v>0.118045723402879</v>
      </c>
      <c r="W50" s="17">
        <f>COUNTIFS(源数据[日期],源数据[[#This Row],[日期]],源数据[账号id],源数据[[#This Row],[账号id]])</f>
        <v>1</v>
      </c>
      <c r="X50" s="15">
        <f>IFERROR(源数据[[#This Row],[点击量]]/源数据[[#This Row],[展示量]],"")</f>
        <v>0.0867932528873589</v>
      </c>
      <c r="Y50" s="16">
        <f>IFERROR(源数据[[#This Row],[播放量]]/源数据[[#This Row],[展示量]],"")</f>
        <v>0.118045723402879</v>
      </c>
      <c r="Z50" s="16">
        <f>IFERROR(源数据[[#This Row],[三连投放总消耗(毫分)]]/源数据[[#This Row],[播放量]],"")</f>
        <v>0.037398999086758</v>
      </c>
      <c r="AA5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1" s="2" customFormat="1" spans="1:27">
      <c r="A51" s="7">
        <v>46204</v>
      </c>
      <c r="B51" s="8" t="s">
        <v>195</v>
      </c>
      <c r="C51" s="8" t="s">
        <v>196</v>
      </c>
      <c r="D51" s="8" t="s">
        <v>91</v>
      </c>
      <c r="E51" s="8" t="s">
        <v>92</v>
      </c>
      <c r="F51" s="8" t="s">
        <v>96</v>
      </c>
      <c r="G51" s="9">
        <v>121739</v>
      </c>
      <c r="H51" s="9">
        <v>3237</v>
      </c>
      <c r="I51" s="10">
        <v>1174.06513</v>
      </c>
      <c r="J51" s="11">
        <v>1173.97</v>
      </c>
      <c r="K51" s="12">
        <f t="shared" si="0"/>
        <v>0.0265896713460764</v>
      </c>
      <c r="L51" s="13">
        <f t="shared" si="1"/>
        <v>9.64411675798224</v>
      </c>
      <c r="M51" s="13">
        <f t="shared" si="2"/>
        <v>0.362701615693543</v>
      </c>
      <c r="N51" s="11">
        <v>0</v>
      </c>
      <c r="O51" s="11">
        <v>0</v>
      </c>
      <c r="P51" s="11">
        <v>1259.09</v>
      </c>
      <c r="Q51" s="13">
        <f t="shared" si="3"/>
        <v>1.07241921067871</v>
      </c>
      <c r="R51" s="11">
        <v>1259.09</v>
      </c>
      <c r="S51" s="13">
        <f t="shared" si="4"/>
        <v>1.07241921067871</v>
      </c>
      <c r="T51" s="9">
        <v>36594</v>
      </c>
      <c r="U51" s="13">
        <f t="shared" si="5"/>
        <v>31.1686286092152</v>
      </c>
      <c r="V51" s="12">
        <f t="shared" si="6"/>
        <v>0.300593893493457</v>
      </c>
      <c r="W51" s="17">
        <f>COUNTIFS(源数据[日期],源数据[[#This Row],[日期]],源数据[账号id],源数据[[#This Row],[账号id]])</f>
        <v>1</v>
      </c>
      <c r="X51" s="15">
        <f>IFERROR(源数据[[#This Row],[点击量]]/源数据[[#This Row],[展示量]],"")</f>
        <v>0.0265896713460764</v>
      </c>
      <c r="Y51" s="16">
        <f>IFERROR(源数据[[#This Row],[播放量]]/源数据[[#This Row],[展示量]],"")</f>
        <v>0.300593893493457</v>
      </c>
      <c r="Z51" s="16">
        <f>IFERROR(源数据[[#This Row],[三连投放总消耗(毫分)]]/源数据[[#This Row],[播放量]],"")</f>
        <v>0.0320835418374597</v>
      </c>
      <c r="AA5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2" s="2" customFormat="1" spans="1:27">
      <c r="A52" s="7">
        <v>46204</v>
      </c>
      <c r="B52" s="8" t="s">
        <v>197</v>
      </c>
      <c r="C52" s="8" t="s">
        <v>198</v>
      </c>
      <c r="D52" s="8" t="s">
        <v>91</v>
      </c>
      <c r="E52" s="8" t="s">
        <v>92</v>
      </c>
      <c r="F52" s="8" t="s">
        <v>93</v>
      </c>
      <c r="G52" s="9">
        <v>356404</v>
      </c>
      <c r="H52" s="9">
        <v>19609</v>
      </c>
      <c r="I52" s="10">
        <v>1128.97775</v>
      </c>
      <c r="J52" s="11">
        <v>1128.86</v>
      </c>
      <c r="K52" s="12">
        <f t="shared" si="0"/>
        <v>0.0550190233555179</v>
      </c>
      <c r="L52" s="13">
        <f t="shared" si="1"/>
        <v>3.16769101918048</v>
      </c>
      <c r="M52" s="13">
        <f t="shared" si="2"/>
        <v>0.057574468356367</v>
      </c>
      <c r="N52" s="11">
        <v>0</v>
      </c>
      <c r="O52" s="11">
        <v>0</v>
      </c>
      <c r="P52" s="11">
        <v>1022.9</v>
      </c>
      <c r="Q52" s="13">
        <f t="shared" si="3"/>
        <v>0.906040885216737</v>
      </c>
      <c r="R52" s="11">
        <v>1022.9</v>
      </c>
      <c r="S52" s="13">
        <f t="shared" si="4"/>
        <v>0.906040885216737</v>
      </c>
      <c r="T52" s="9">
        <v>1163</v>
      </c>
      <c r="U52" s="13">
        <f t="shared" si="5"/>
        <v>1.03013544775351</v>
      </c>
      <c r="V52" s="12">
        <f t="shared" si="6"/>
        <v>0.00326315080638826</v>
      </c>
      <c r="W52" s="17">
        <f>COUNTIFS(源数据[日期],源数据[[#This Row],[日期]],源数据[账号id],源数据[[#This Row],[账号id]])</f>
        <v>1</v>
      </c>
      <c r="X52" s="15">
        <f>IFERROR(源数据[[#This Row],[点击量]]/源数据[[#This Row],[展示量]],"")</f>
        <v>0.0550190233555179</v>
      </c>
      <c r="Y52" s="16">
        <f>IFERROR(源数据[[#This Row],[播放量]]/源数据[[#This Row],[展示量]],"")</f>
        <v>0.00326315080638826</v>
      </c>
      <c r="Z52" s="16">
        <f>IFERROR(源数据[[#This Row],[三连投放总消耗(毫分)]]/源数据[[#This Row],[播放量]],"")</f>
        <v>0.970746130696475</v>
      </c>
      <c r="AA5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3" s="2" customFormat="1" spans="1:27">
      <c r="A53" s="7">
        <v>46204</v>
      </c>
      <c r="B53" s="8" t="s">
        <v>199</v>
      </c>
      <c r="C53" s="8" t="s">
        <v>200</v>
      </c>
      <c r="D53" s="8" t="s">
        <v>91</v>
      </c>
      <c r="E53" s="8" t="s">
        <v>92</v>
      </c>
      <c r="F53" s="8" t="s">
        <v>115</v>
      </c>
      <c r="G53" s="9">
        <v>92834</v>
      </c>
      <c r="H53" s="9">
        <v>5139</v>
      </c>
      <c r="I53" s="10">
        <v>1089.44338</v>
      </c>
      <c r="J53" s="11">
        <v>1089.32</v>
      </c>
      <c r="K53" s="12">
        <f t="shared" si="0"/>
        <v>0.0553568735592563</v>
      </c>
      <c r="L53" s="13">
        <f t="shared" si="1"/>
        <v>11.7353919900037</v>
      </c>
      <c r="M53" s="13">
        <f t="shared" si="2"/>
        <v>0.211995209184666</v>
      </c>
      <c r="N53" s="11">
        <v>0</v>
      </c>
      <c r="O53" s="11">
        <v>0</v>
      </c>
      <c r="P53" s="11">
        <v>1140.29</v>
      </c>
      <c r="Q53" s="13">
        <f t="shared" si="3"/>
        <v>1.04667210883415</v>
      </c>
      <c r="R53" s="11">
        <v>1140.29</v>
      </c>
      <c r="S53" s="13">
        <f t="shared" si="4"/>
        <v>1.04667210883415</v>
      </c>
      <c r="T53" s="9">
        <v>23987</v>
      </c>
      <c r="U53" s="13">
        <f t="shared" si="5"/>
        <v>22.0176655715692</v>
      </c>
      <c r="V53" s="12">
        <f t="shared" si="6"/>
        <v>0.258385936187173</v>
      </c>
      <c r="W53" s="17">
        <f>COUNTIFS(源数据[日期],源数据[[#This Row],[日期]],源数据[账号id],源数据[[#This Row],[账号id]])</f>
        <v>1</v>
      </c>
      <c r="X53" s="15">
        <f>IFERROR(源数据[[#This Row],[点击量]]/源数据[[#This Row],[展示量]],"")</f>
        <v>0.0553568735592563</v>
      </c>
      <c r="Y53" s="16">
        <f>IFERROR(源数据[[#This Row],[播放量]]/源数据[[#This Row],[展示量]],"")</f>
        <v>0.258385936187173</v>
      </c>
      <c r="Z53" s="16">
        <f>IFERROR(源数据[[#This Row],[三连投放总消耗(毫分)]]/源数据[[#This Row],[播放量]],"")</f>
        <v>0.0454180756242965</v>
      </c>
      <c r="AA5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4" s="2" customFormat="1" spans="1:27">
      <c r="A54" s="7">
        <v>46204</v>
      </c>
      <c r="B54" s="8" t="s">
        <v>201</v>
      </c>
      <c r="C54" s="8" t="s">
        <v>202</v>
      </c>
      <c r="D54" s="8" t="s">
        <v>91</v>
      </c>
      <c r="E54" s="8" t="s">
        <v>92</v>
      </c>
      <c r="F54" s="8" t="s">
        <v>96</v>
      </c>
      <c r="G54" s="9">
        <v>72825</v>
      </c>
      <c r="H54" s="9">
        <v>2591</v>
      </c>
      <c r="I54" s="10">
        <v>1081.66694</v>
      </c>
      <c r="J54" s="11">
        <v>1081.53</v>
      </c>
      <c r="K54" s="12">
        <f t="shared" si="0"/>
        <v>0.0355784414692757</v>
      </c>
      <c r="L54" s="13">
        <f t="shared" si="1"/>
        <v>14.8529617576382</v>
      </c>
      <c r="M54" s="13">
        <f t="shared" si="2"/>
        <v>0.417470837514473</v>
      </c>
      <c r="N54" s="11">
        <v>0</v>
      </c>
      <c r="O54" s="11">
        <v>0</v>
      </c>
      <c r="P54" s="11">
        <v>1164.32</v>
      </c>
      <c r="Q54" s="13">
        <f t="shared" si="3"/>
        <v>1.07641267098355</v>
      </c>
      <c r="R54" s="11">
        <v>1164.32</v>
      </c>
      <c r="S54" s="13">
        <f t="shared" si="4"/>
        <v>1.07641267098355</v>
      </c>
      <c r="T54" s="9">
        <v>14358</v>
      </c>
      <c r="U54" s="13">
        <f t="shared" si="5"/>
        <v>13.2739565840849</v>
      </c>
      <c r="V54" s="12">
        <f t="shared" si="6"/>
        <v>0.197157569515963</v>
      </c>
      <c r="W54" s="17">
        <f>COUNTIFS(源数据[日期],源数据[[#This Row],[日期]],源数据[账号id],源数据[[#This Row],[账号id]])</f>
        <v>1</v>
      </c>
      <c r="X54" s="15">
        <f>IFERROR(源数据[[#This Row],[点击量]]/源数据[[#This Row],[展示量]],"")</f>
        <v>0.0355784414692757</v>
      </c>
      <c r="Y54" s="16">
        <f>IFERROR(源数据[[#This Row],[播放量]]/源数据[[#This Row],[展示量]],"")</f>
        <v>0.197157569515963</v>
      </c>
      <c r="Z54" s="16">
        <f>IFERROR(源数据[[#This Row],[三连投放总消耗(毫分)]]/源数据[[#This Row],[播放量]],"")</f>
        <v>0.0753354882295584</v>
      </c>
      <c r="AA5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5" s="2" customFormat="1" spans="1:27">
      <c r="A55" s="7">
        <v>46204</v>
      </c>
      <c r="B55" s="8" t="s">
        <v>203</v>
      </c>
      <c r="C55" s="8" t="s">
        <v>204</v>
      </c>
      <c r="D55" s="8" t="s">
        <v>91</v>
      </c>
      <c r="E55" s="8" t="s">
        <v>92</v>
      </c>
      <c r="F55" s="8" t="s">
        <v>96</v>
      </c>
      <c r="G55" s="9">
        <v>82941</v>
      </c>
      <c r="H55" s="9">
        <v>2054</v>
      </c>
      <c r="I55" s="10">
        <v>1080.28678</v>
      </c>
      <c r="J55" s="11">
        <v>1080.16</v>
      </c>
      <c r="K55" s="12">
        <f t="shared" si="0"/>
        <v>0.0247645916977128</v>
      </c>
      <c r="L55" s="13">
        <f t="shared" si="1"/>
        <v>13.0247619392098</v>
      </c>
      <c r="M55" s="13">
        <f t="shared" si="2"/>
        <v>0.525942930866602</v>
      </c>
      <c r="N55" s="11">
        <v>0</v>
      </c>
      <c r="O55" s="11">
        <v>0</v>
      </c>
      <c r="P55" s="11">
        <v>1090.72</v>
      </c>
      <c r="Q55" s="13">
        <f t="shared" si="3"/>
        <v>1.00965782437882</v>
      </c>
      <c r="R55" s="11">
        <v>1090.72</v>
      </c>
      <c r="S55" s="13">
        <f t="shared" si="4"/>
        <v>1.00965782437882</v>
      </c>
      <c r="T55" s="9">
        <v>15625</v>
      </c>
      <c r="U55" s="13">
        <f t="shared" si="5"/>
        <v>14.4637519307605</v>
      </c>
      <c r="V55" s="12">
        <f t="shared" si="6"/>
        <v>0.188386925645941</v>
      </c>
      <c r="W55" s="17">
        <f>COUNTIFS(源数据[日期],源数据[[#This Row],[日期]],源数据[账号id],源数据[[#This Row],[账号id]])</f>
        <v>1</v>
      </c>
      <c r="X55" s="15">
        <f>IFERROR(源数据[[#This Row],[点击量]]/源数据[[#This Row],[展示量]],"")</f>
        <v>0.0247645916977128</v>
      </c>
      <c r="Y55" s="16">
        <f>IFERROR(源数据[[#This Row],[播放量]]/源数据[[#This Row],[展示量]],"")</f>
        <v>0.188386925645941</v>
      </c>
      <c r="Z55" s="16">
        <f>IFERROR(源数据[[#This Row],[三连投放总消耗(毫分)]]/源数据[[#This Row],[播放量]],"")</f>
        <v>0.06913835392</v>
      </c>
      <c r="AA5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6" s="2" customFormat="1" spans="1:27">
      <c r="A56" s="7">
        <v>46204</v>
      </c>
      <c r="B56" s="8" t="s">
        <v>205</v>
      </c>
      <c r="C56" s="8" t="s">
        <v>206</v>
      </c>
      <c r="D56" s="8" t="s">
        <v>91</v>
      </c>
      <c r="E56" s="8" t="s">
        <v>92</v>
      </c>
      <c r="F56" s="8" t="s">
        <v>96</v>
      </c>
      <c r="G56" s="9">
        <v>101643</v>
      </c>
      <c r="H56" s="9">
        <v>1150</v>
      </c>
      <c r="I56" s="10">
        <v>1070.34078</v>
      </c>
      <c r="J56" s="11">
        <v>1070.22</v>
      </c>
      <c r="K56" s="12">
        <f t="shared" si="0"/>
        <v>0.0113141091860728</v>
      </c>
      <c r="L56" s="13">
        <f t="shared" si="1"/>
        <v>10.530393435849</v>
      </c>
      <c r="M56" s="13">
        <f t="shared" si="2"/>
        <v>0.930731113043478</v>
      </c>
      <c r="N56" s="11">
        <v>0</v>
      </c>
      <c r="O56" s="11">
        <v>0</v>
      </c>
      <c r="P56" s="11">
        <v>1058.16</v>
      </c>
      <c r="Q56" s="13">
        <f t="shared" si="3"/>
        <v>0.98861971791825</v>
      </c>
      <c r="R56" s="11">
        <v>1058.16</v>
      </c>
      <c r="S56" s="13">
        <f t="shared" si="4"/>
        <v>0.98861971791825</v>
      </c>
      <c r="T56" s="9">
        <v>14308</v>
      </c>
      <c r="U56" s="13">
        <f t="shared" si="5"/>
        <v>13.3677051901171</v>
      </c>
      <c r="V56" s="12">
        <f t="shared" si="6"/>
        <v>0.140767194986374</v>
      </c>
      <c r="W56" s="17">
        <f>COUNTIFS(源数据[日期],源数据[[#This Row],[日期]],源数据[账号id],源数据[[#This Row],[账号id]])</f>
        <v>1</v>
      </c>
      <c r="X56" s="15">
        <f>IFERROR(源数据[[#This Row],[点击量]]/源数据[[#This Row],[展示量]],"")</f>
        <v>0.0113141091860728</v>
      </c>
      <c r="Y56" s="16">
        <f>IFERROR(源数据[[#This Row],[播放量]]/源数据[[#This Row],[展示量]],"")</f>
        <v>0.140767194986374</v>
      </c>
      <c r="Z56" s="16">
        <f>IFERROR(源数据[[#This Row],[三连投放总消耗(毫分)]]/源数据[[#This Row],[播放量]],"")</f>
        <v>0.0748071554375175</v>
      </c>
      <c r="AA5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7" s="2" customFormat="1" spans="1:27">
      <c r="A57" s="7">
        <v>46204</v>
      </c>
      <c r="B57" s="8" t="s">
        <v>207</v>
      </c>
      <c r="C57" s="8" t="s">
        <v>208</v>
      </c>
      <c r="D57" s="8" t="s">
        <v>91</v>
      </c>
      <c r="E57" s="8" t="s">
        <v>92</v>
      </c>
      <c r="F57" s="8" t="s">
        <v>115</v>
      </c>
      <c r="G57" s="9">
        <v>96274</v>
      </c>
      <c r="H57" s="9">
        <v>3595</v>
      </c>
      <c r="I57" s="10">
        <v>1042.04044</v>
      </c>
      <c r="J57" s="11">
        <v>1041.93</v>
      </c>
      <c r="K57" s="12">
        <f t="shared" si="0"/>
        <v>0.0373413382637057</v>
      </c>
      <c r="L57" s="13">
        <f t="shared" si="1"/>
        <v>10.8236952863702</v>
      </c>
      <c r="M57" s="13">
        <f t="shared" si="2"/>
        <v>0.289858258692629</v>
      </c>
      <c r="N57" s="11">
        <v>0</v>
      </c>
      <c r="O57" s="11">
        <v>0</v>
      </c>
      <c r="P57" s="11">
        <v>1115.29</v>
      </c>
      <c r="Q57" s="13">
        <f t="shared" si="3"/>
        <v>1.07029435441104</v>
      </c>
      <c r="R57" s="11">
        <v>1115.29</v>
      </c>
      <c r="S57" s="13">
        <f t="shared" si="4"/>
        <v>1.07029435441104</v>
      </c>
      <c r="T57" s="9">
        <v>23482</v>
      </c>
      <c r="U57" s="13">
        <f t="shared" si="5"/>
        <v>22.5346340685204</v>
      </c>
      <c r="V57" s="12">
        <f t="shared" si="6"/>
        <v>0.243908012547521</v>
      </c>
      <c r="W57" s="17">
        <f>COUNTIFS(源数据[日期],源数据[[#This Row],[日期]],源数据[账号id],源数据[[#This Row],[账号id]])</f>
        <v>1</v>
      </c>
      <c r="X57" s="15">
        <f>IFERROR(源数据[[#This Row],[点击量]]/源数据[[#This Row],[展示量]],"")</f>
        <v>0.0373413382637057</v>
      </c>
      <c r="Y57" s="16">
        <f>IFERROR(源数据[[#This Row],[播放量]]/源数据[[#This Row],[展示量]],"")</f>
        <v>0.243908012547521</v>
      </c>
      <c r="Z57" s="16">
        <f>IFERROR(源数据[[#This Row],[三连投放总消耗(毫分)]]/源数据[[#This Row],[播放量]],"")</f>
        <v>0.0443761366152798</v>
      </c>
      <c r="AA5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8" s="2" customFormat="1" spans="1:27">
      <c r="A58" s="7">
        <v>46204</v>
      </c>
      <c r="B58" s="8" t="s">
        <v>209</v>
      </c>
      <c r="C58" s="8" t="s">
        <v>210</v>
      </c>
      <c r="D58" s="8" t="s">
        <v>91</v>
      </c>
      <c r="E58" s="8" t="s">
        <v>92</v>
      </c>
      <c r="F58" s="8" t="s">
        <v>115</v>
      </c>
      <c r="G58" s="9">
        <v>108546</v>
      </c>
      <c r="H58" s="9">
        <v>1867</v>
      </c>
      <c r="I58" s="10">
        <v>1025.64581</v>
      </c>
      <c r="J58" s="11">
        <v>1025.57</v>
      </c>
      <c r="K58" s="12">
        <f t="shared" si="0"/>
        <v>0.0172000810716194</v>
      </c>
      <c r="L58" s="13">
        <f t="shared" si="1"/>
        <v>9.44895076741658</v>
      </c>
      <c r="M58" s="13">
        <f t="shared" si="2"/>
        <v>0.549355013390466</v>
      </c>
      <c r="N58" s="11">
        <v>0</v>
      </c>
      <c r="O58" s="11">
        <v>0</v>
      </c>
      <c r="P58" s="11">
        <v>1025.89</v>
      </c>
      <c r="Q58" s="13">
        <f t="shared" si="3"/>
        <v>1.0002380841394</v>
      </c>
      <c r="R58" s="11">
        <v>1025.89</v>
      </c>
      <c r="S58" s="13">
        <f t="shared" si="4"/>
        <v>1.0002380841394</v>
      </c>
      <c r="T58" s="9">
        <v>24188</v>
      </c>
      <c r="U58" s="13">
        <f t="shared" si="5"/>
        <v>23.5831899903145</v>
      </c>
      <c r="V58" s="12">
        <f t="shared" si="6"/>
        <v>0.222836401157113</v>
      </c>
      <c r="W58" s="17">
        <f>COUNTIFS(源数据[日期],源数据[[#This Row],[日期]],源数据[账号id],源数据[[#This Row],[账号id]])</f>
        <v>1</v>
      </c>
      <c r="X58" s="15">
        <f>IFERROR(源数据[[#This Row],[点击量]]/源数据[[#This Row],[展示量]],"")</f>
        <v>0.0172000810716194</v>
      </c>
      <c r="Y58" s="16">
        <f>IFERROR(源数据[[#This Row],[播放量]]/源数据[[#This Row],[展示量]],"")</f>
        <v>0.222836401157113</v>
      </c>
      <c r="Z58" s="16">
        <f>IFERROR(源数据[[#This Row],[三连投放总消耗(毫分)]]/源数据[[#This Row],[播放量]],"")</f>
        <v>0.0424030845873987</v>
      </c>
      <c r="AA5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9" s="2" customFormat="1" spans="1:27">
      <c r="A59" s="7">
        <v>46204</v>
      </c>
      <c r="B59" s="8" t="s">
        <v>211</v>
      </c>
      <c r="C59" s="8" t="s">
        <v>212</v>
      </c>
      <c r="D59" s="8" t="s">
        <v>91</v>
      </c>
      <c r="E59" s="8" t="s">
        <v>92</v>
      </c>
      <c r="F59" s="8" t="s">
        <v>213</v>
      </c>
      <c r="G59" s="9">
        <v>145547</v>
      </c>
      <c r="H59" s="9">
        <v>1577</v>
      </c>
      <c r="I59" s="10">
        <v>1009.386</v>
      </c>
      <c r="J59" s="11">
        <v>1009.28</v>
      </c>
      <c r="K59" s="12">
        <f t="shared" si="0"/>
        <v>0.0108349880107457</v>
      </c>
      <c r="L59" s="13">
        <f t="shared" si="1"/>
        <v>6.93512061395975</v>
      </c>
      <c r="M59" s="13">
        <f t="shared" si="2"/>
        <v>0.640067216233354</v>
      </c>
      <c r="N59" s="11">
        <v>0</v>
      </c>
      <c r="O59" s="11">
        <v>0</v>
      </c>
      <c r="P59" s="11">
        <v>1042.98</v>
      </c>
      <c r="Q59" s="13">
        <f t="shared" si="3"/>
        <v>1.03328161872663</v>
      </c>
      <c r="R59" s="11">
        <v>1042.98</v>
      </c>
      <c r="S59" s="13">
        <f t="shared" si="4"/>
        <v>1.03328161872663</v>
      </c>
      <c r="T59" s="9">
        <v>28567</v>
      </c>
      <c r="U59" s="13">
        <f t="shared" si="5"/>
        <v>28.3013634030985</v>
      </c>
      <c r="V59" s="12">
        <f t="shared" si="6"/>
        <v>0.196273368739995</v>
      </c>
      <c r="W59" s="17">
        <f>COUNTIFS(源数据[日期],源数据[[#This Row],[日期]],源数据[账号id],源数据[[#This Row],[账号id]])</f>
        <v>1</v>
      </c>
      <c r="X59" s="15">
        <f>IFERROR(源数据[[#This Row],[点击量]]/源数据[[#This Row],[展示量]],"")</f>
        <v>0.0108349880107457</v>
      </c>
      <c r="Y59" s="16">
        <f>IFERROR(源数据[[#This Row],[播放量]]/源数据[[#This Row],[展示量]],"")</f>
        <v>0.196273368739995</v>
      </c>
      <c r="Z59" s="16">
        <f>IFERROR(源数据[[#This Row],[三连投放总消耗(毫分)]]/源数据[[#This Row],[播放量]],"")</f>
        <v>0.035333986767949</v>
      </c>
      <c r="AA5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60" s="2" customFormat="1" spans="1:27">
      <c r="A60" s="7">
        <v>46204</v>
      </c>
      <c r="B60" s="8" t="s">
        <v>214</v>
      </c>
      <c r="C60" s="8" t="s">
        <v>215</v>
      </c>
      <c r="D60" s="8" t="s">
        <v>91</v>
      </c>
      <c r="E60" s="8" t="s">
        <v>92</v>
      </c>
      <c r="F60" s="8" t="s">
        <v>213</v>
      </c>
      <c r="G60" s="9">
        <v>130082</v>
      </c>
      <c r="H60" s="9">
        <v>1434</v>
      </c>
      <c r="I60" s="10">
        <v>905.32843</v>
      </c>
      <c r="J60" s="11">
        <v>905.26</v>
      </c>
      <c r="K60" s="12">
        <f t="shared" si="0"/>
        <v>0.0110238157469904</v>
      </c>
      <c r="L60" s="13">
        <f t="shared" si="1"/>
        <v>6.95967489737243</v>
      </c>
      <c r="M60" s="13">
        <f t="shared" si="2"/>
        <v>0.631330843793584</v>
      </c>
      <c r="N60" s="11">
        <v>0</v>
      </c>
      <c r="O60" s="11">
        <v>0</v>
      </c>
      <c r="P60" s="11">
        <v>931.15</v>
      </c>
      <c r="Q60" s="13">
        <f t="shared" si="3"/>
        <v>1.02852177082299</v>
      </c>
      <c r="R60" s="11">
        <v>931.15</v>
      </c>
      <c r="S60" s="13">
        <f t="shared" si="4"/>
        <v>1.02852177082299</v>
      </c>
      <c r="T60" s="9">
        <v>25938</v>
      </c>
      <c r="U60" s="13">
        <f t="shared" si="5"/>
        <v>28.6503760850634</v>
      </c>
      <c r="V60" s="12">
        <f t="shared" si="6"/>
        <v>0.199397303239495</v>
      </c>
      <c r="W60" s="17">
        <f>COUNTIFS(源数据[日期],源数据[[#This Row],[日期]],源数据[账号id],源数据[[#This Row],[账号id]])</f>
        <v>1</v>
      </c>
      <c r="X60" s="15">
        <f>IFERROR(源数据[[#This Row],[点击量]]/源数据[[#This Row],[展示量]],"")</f>
        <v>0.0110238157469904</v>
      </c>
      <c r="Y60" s="16">
        <f>IFERROR(源数据[[#This Row],[播放量]]/源数据[[#This Row],[展示量]],"")</f>
        <v>0.199397303239495</v>
      </c>
      <c r="Z60" s="16">
        <f>IFERROR(源数据[[#This Row],[三连投放总消耗(毫分)]]/源数据[[#This Row],[播放量]],"")</f>
        <v>0.0349035557868764</v>
      </c>
      <c r="AA6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61" s="2" customFormat="1" spans="1:27">
      <c r="A61" s="7">
        <v>46204</v>
      </c>
      <c r="B61" s="8" t="s">
        <v>216</v>
      </c>
      <c r="C61" s="8" t="s">
        <v>217</v>
      </c>
      <c r="D61" s="8" t="s">
        <v>91</v>
      </c>
      <c r="E61" s="8" t="s">
        <v>92</v>
      </c>
      <c r="F61" s="8" t="s">
        <v>93</v>
      </c>
      <c r="G61" s="9">
        <v>95888</v>
      </c>
      <c r="H61" s="9">
        <v>2213</v>
      </c>
      <c r="I61" s="10">
        <v>905.19043</v>
      </c>
      <c r="J61" s="11">
        <v>905.11</v>
      </c>
      <c r="K61" s="12">
        <f t="shared" si="0"/>
        <v>0.0230790088436509</v>
      </c>
      <c r="L61" s="13">
        <f t="shared" si="1"/>
        <v>9.44008040630736</v>
      </c>
      <c r="M61" s="13">
        <f t="shared" si="2"/>
        <v>0.409033181201988</v>
      </c>
      <c r="N61" s="11">
        <v>0</v>
      </c>
      <c r="O61" s="11">
        <v>0</v>
      </c>
      <c r="P61" s="11">
        <v>1017.33</v>
      </c>
      <c r="Q61" s="13">
        <f t="shared" si="3"/>
        <v>1.12388505919136</v>
      </c>
      <c r="R61" s="11">
        <v>1017.33</v>
      </c>
      <c r="S61" s="13">
        <f t="shared" si="4"/>
        <v>1.12388505919136</v>
      </c>
      <c r="T61" s="9">
        <v>20657</v>
      </c>
      <c r="U61" s="13">
        <f t="shared" si="5"/>
        <v>22.82061245389</v>
      </c>
      <c r="V61" s="12">
        <f t="shared" si="6"/>
        <v>0.2154284164859</v>
      </c>
      <c r="W61" s="17">
        <f>COUNTIFS(源数据[日期],源数据[[#This Row],[日期]],源数据[账号id],源数据[[#This Row],[账号id]])</f>
        <v>1</v>
      </c>
      <c r="X61" s="15">
        <f>IFERROR(源数据[[#This Row],[点击量]]/源数据[[#This Row],[展示量]],"")</f>
        <v>0.0230790088436509</v>
      </c>
      <c r="Y61" s="16">
        <f>IFERROR(源数据[[#This Row],[播放量]]/源数据[[#This Row],[展示量]],"")</f>
        <v>0.2154284164859</v>
      </c>
      <c r="Z61" s="16">
        <f>IFERROR(源数据[[#This Row],[三连投放总消耗(毫分)]]/源数据[[#This Row],[播放量]],"")</f>
        <v>0.0438200334027206</v>
      </c>
      <c r="AA6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62" s="2" customFormat="1" spans="1:27">
      <c r="A62" s="7">
        <v>46204</v>
      </c>
      <c r="B62" s="8" t="s">
        <v>218</v>
      </c>
      <c r="C62" s="8" t="s">
        <v>219</v>
      </c>
      <c r="D62" s="8" t="s">
        <v>91</v>
      </c>
      <c r="E62" s="8" t="s">
        <v>92</v>
      </c>
      <c r="F62" s="8" t="s">
        <v>115</v>
      </c>
      <c r="G62" s="9">
        <v>118767</v>
      </c>
      <c r="H62" s="9">
        <v>3653</v>
      </c>
      <c r="I62" s="10">
        <v>896.67965</v>
      </c>
      <c r="J62" s="11">
        <v>896.59</v>
      </c>
      <c r="K62" s="12">
        <f t="shared" si="0"/>
        <v>0.0307577020552847</v>
      </c>
      <c r="L62" s="13">
        <f t="shared" si="1"/>
        <v>7.54990569771064</v>
      </c>
      <c r="M62" s="13">
        <f t="shared" si="2"/>
        <v>0.245463906378319</v>
      </c>
      <c r="N62" s="11">
        <v>0</v>
      </c>
      <c r="O62" s="11">
        <v>0</v>
      </c>
      <c r="P62" s="11">
        <v>944.68</v>
      </c>
      <c r="Q62" s="13">
        <f t="shared" si="3"/>
        <v>1.05353121373949</v>
      </c>
      <c r="R62" s="11">
        <v>944.68</v>
      </c>
      <c r="S62" s="13">
        <f t="shared" si="4"/>
        <v>1.05353121373949</v>
      </c>
      <c r="T62" s="9">
        <v>21404</v>
      </c>
      <c r="U62" s="13">
        <f t="shared" si="5"/>
        <v>23.8702863391625</v>
      </c>
      <c r="V62" s="12">
        <f t="shared" si="6"/>
        <v>0.180218410838027</v>
      </c>
      <c r="W62" s="17">
        <f>COUNTIFS(源数据[日期],源数据[[#This Row],[日期]],源数据[账号id],源数据[[#This Row],[账号id]])</f>
        <v>1</v>
      </c>
      <c r="X62" s="15">
        <f>IFERROR(源数据[[#This Row],[点击量]]/源数据[[#This Row],[展示量]],"")</f>
        <v>0.0307577020552847</v>
      </c>
      <c r="Y62" s="16">
        <f>IFERROR(源数据[[#This Row],[播放量]]/源数据[[#This Row],[展示量]],"")</f>
        <v>0.180218410838027</v>
      </c>
      <c r="Z62" s="16">
        <f>IFERROR(源数据[[#This Row],[三连投放总消耗(毫分)]]/源数据[[#This Row],[播放量]],"")</f>
        <v>0.0418930877406092</v>
      </c>
      <c r="AA6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63" s="2" customFormat="1" spans="1:27">
      <c r="A63" s="7">
        <v>46204</v>
      </c>
      <c r="B63" s="8" t="s">
        <v>220</v>
      </c>
      <c r="C63" s="8" t="s">
        <v>221</v>
      </c>
      <c r="D63" s="8" t="s">
        <v>91</v>
      </c>
      <c r="E63" s="8" t="s">
        <v>92</v>
      </c>
      <c r="F63" s="8" t="s">
        <v>213</v>
      </c>
      <c r="G63" s="9">
        <v>133968</v>
      </c>
      <c r="H63" s="9">
        <v>2080</v>
      </c>
      <c r="I63" s="10">
        <v>887.35169</v>
      </c>
      <c r="J63" s="11">
        <v>887.27</v>
      </c>
      <c r="K63" s="12">
        <f t="shared" si="0"/>
        <v>0.0155260957840678</v>
      </c>
      <c r="L63" s="13">
        <f t="shared" si="1"/>
        <v>6.62360929475696</v>
      </c>
      <c r="M63" s="13">
        <f t="shared" si="2"/>
        <v>0.426611389423077</v>
      </c>
      <c r="N63" s="11">
        <v>0</v>
      </c>
      <c r="O63" s="11">
        <v>0</v>
      </c>
      <c r="P63" s="11">
        <v>942.76</v>
      </c>
      <c r="Q63" s="13">
        <f t="shared" si="3"/>
        <v>1.06244233332108</v>
      </c>
      <c r="R63" s="11">
        <v>942.76</v>
      </c>
      <c r="S63" s="13">
        <f t="shared" si="4"/>
        <v>1.06244233332108</v>
      </c>
      <c r="T63" s="9">
        <v>32153</v>
      </c>
      <c r="U63" s="13">
        <f t="shared" si="5"/>
        <v>36.234787584616</v>
      </c>
      <c r="V63" s="12">
        <f t="shared" si="6"/>
        <v>0.240005075839006</v>
      </c>
      <c r="W63" s="17">
        <f>COUNTIFS(源数据[日期],源数据[[#This Row],[日期]],源数据[账号id],源数据[[#This Row],[账号id]])</f>
        <v>1</v>
      </c>
      <c r="X63" s="15">
        <f>IFERROR(源数据[[#This Row],[点击量]]/源数据[[#This Row],[展示量]],"")</f>
        <v>0.0155260957840678</v>
      </c>
      <c r="Y63" s="16">
        <f>IFERROR(源数据[[#This Row],[播放量]]/源数据[[#This Row],[展示量]],"")</f>
        <v>0.240005075839006</v>
      </c>
      <c r="Z63" s="16">
        <f>IFERROR(源数据[[#This Row],[三连投放总消耗(毫分)]]/源数据[[#This Row],[播放量]],"")</f>
        <v>0.0275977883867757</v>
      </c>
      <c r="AA6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64" s="2" customFormat="1" spans="1:27">
      <c r="A64" s="7">
        <v>46204</v>
      </c>
      <c r="B64" s="8" t="s">
        <v>222</v>
      </c>
      <c r="C64" s="8" t="s">
        <v>223</v>
      </c>
      <c r="D64" s="8" t="s">
        <v>91</v>
      </c>
      <c r="E64" s="8" t="s">
        <v>92</v>
      </c>
      <c r="F64" s="8" t="s">
        <v>96</v>
      </c>
      <c r="G64" s="9">
        <v>127999</v>
      </c>
      <c r="H64" s="9">
        <v>7052</v>
      </c>
      <c r="I64" s="10">
        <v>885.88359</v>
      </c>
      <c r="J64" s="11">
        <v>885.76</v>
      </c>
      <c r="K64" s="12">
        <f t="shared" si="0"/>
        <v>0.0550941804232846</v>
      </c>
      <c r="L64" s="13">
        <f t="shared" si="1"/>
        <v>6.92101961734076</v>
      </c>
      <c r="M64" s="13">
        <f t="shared" si="2"/>
        <v>0.12562160947249</v>
      </c>
      <c r="N64" s="11">
        <v>0</v>
      </c>
      <c r="O64" s="11">
        <v>0</v>
      </c>
      <c r="P64" s="11">
        <v>934.88</v>
      </c>
      <c r="Q64" s="13">
        <f t="shared" si="3"/>
        <v>1.0553079553037</v>
      </c>
      <c r="R64" s="11">
        <v>934.88</v>
      </c>
      <c r="S64" s="13">
        <f t="shared" si="4"/>
        <v>1.0553079553037</v>
      </c>
      <c r="T64" s="9">
        <v>14203</v>
      </c>
      <c r="U64" s="13">
        <f t="shared" si="5"/>
        <v>16.0325805335213</v>
      </c>
      <c r="V64" s="12">
        <f t="shared" si="6"/>
        <v>0.110961804389097</v>
      </c>
      <c r="W64" s="17">
        <f>COUNTIFS(源数据[日期],源数据[[#This Row],[日期]],源数据[账号id],源数据[[#This Row],[账号id]])</f>
        <v>1</v>
      </c>
      <c r="X64" s="15">
        <f>IFERROR(源数据[[#This Row],[点击量]]/源数据[[#This Row],[展示量]],"")</f>
        <v>0.0550941804232846</v>
      </c>
      <c r="Y64" s="16">
        <f>IFERROR(源数据[[#This Row],[播放量]]/源数据[[#This Row],[展示量]],"")</f>
        <v>0.110961804389097</v>
      </c>
      <c r="Z64" s="16">
        <f>IFERROR(源数据[[#This Row],[三连投放总消耗(毫分)]]/源数据[[#This Row],[播放量]],"")</f>
        <v>0.0623729909174118</v>
      </c>
      <c r="AA6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65" s="2" customFormat="1" spans="1:27">
      <c r="A65" s="7">
        <v>46204</v>
      </c>
      <c r="B65" s="8" t="s">
        <v>224</v>
      </c>
      <c r="C65" s="8" t="s">
        <v>225</v>
      </c>
      <c r="D65" s="8" t="s">
        <v>91</v>
      </c>
      <c r="E65" s="8" t="s">
        <v>92</v>
      </c>
      <c r="F65" s="8" t="s">
        <v>93</v>
      </c>
      <c r="G65" s="9">
        <v>82514</v>
      </c>
      <c r="H65" s="9">
        <v>3470</v>
      </c>
      <c r="I65" s="10">
        <v>875.2958</v>
      </c>
      <c r="J65" s="11">
        <v>875.16</v>
      </c>
      <c r="K65" s="12">
        <f t="shared" si="0"/>
        <v>0.0420534697142303</v>
      </c>
      <c r="L65" s="13">
        <f t="shared" si="1"/>
        <v>10.6078459412948</v>
      </c>
      <c r="M65" s="13">
        <f t="shared" si="2"/>
        <v>0.252246628242075</v>
      </c>
      <c r="N65" s="11">
        <v>0</v>
      </c>
      <c r="O65" s="11">
        <v>0</v>
      </c>
      <c r="P65" s="11">
        <v>951.59</v>
      </c>
      <c r="Q65" s="13">
        <f t="shared" si="3"/>
        <v>1.08716390504787</v>
      </c>
      <c r="R65" s="11">
        <v>951.59</v>
      </c>
      <c r="S65" s="13">
        <f t="shared" si="4"/>
        <v>1.08716390504787</v>
      </c>
      <c r="T65" s="9">
        <v>21042</v>
      </c>
      <c r="U65" s="13">
        <f t="shared" si="5"/>
        <v>24.0398731491685</v>
      </c>
      <c r="V65" s="12">
        <f t="shared" si="6"/>
        <v>0.25501127081465</v>
      </c>
      <c r="W65" s="17">
        <f>COUNTIFS(源数据[日期],源数据[[#This Row],[日期]],源数据[账号id],源数据[[#This Row],[账号id]])</f>
        <v>1</v>
      </c>
      <c r="X65" s="15">
        <f>IFERROR(源数据[[#This Row],[点击量]]/源数据[[#This Row],[展示量]],"")</f>
        <v>0.0420534697142303</v>
      </c>
      <c r="Y65" s="16">
        <f>IFERROR(源数据[[#This Row],[播放量]]/源数据[[#This Row],[展示量]],"")</f>
        <v>0.25501127081465</v>
      </c>
      <c r="Z65" s="16">
        <f>IFERROR(源数据[[#This Row],[三连投放总消耗(毫分)]]/源数据[[#This Row],[播放量]],"")</f>
        <v>0.0415975572664195</v>
      </c>
      <c r="AA6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66" s="2" customFormat="1" spans="1:27">
      <c r="A66" s="7">
        <v>46204</v>
      </c>
      <c r="B66" s="8" t="s">
        <v>226</v>
      </c>
      <c r="C66" s="8" t="s">
        <v>227</v>
      </c>
      <c r="D66" s="8" t="s">
        <v>91</v>
      </c>
      <c r="E66" s="8" t="s">
        <v>92</v>
      </c>
      <c r="F66" s="8" t="s">
        <v>96</v>
      </c>
      <c r="G66" s="9">
        <v>62651</v>
      </c>
      <c r="H66" s="9">
        <v>3228</v>
      </c>
      <c r="I66" s="10">
        <v>857.12362</v>
      </c>
      <c r="J66" s="11">
        <v>857.06</v>
      </c>
      <c r="K66" s="12">
        <f t="shared" ref="K66:K129" si="7">IF(G66=0,0,H66/G66)</f>
        <v>0.0515235191776668</v>
      </c>
      <c r="L66" s="13">
        <f t="shared" ref="L66:L129" si="8">IF(G66=0,0,I66/G66*1000)</f>
        <v>13.6809248056695</v>
      </c>
      <c r="M66" s="13">
        <f t="shared" ref="M66:M129" si="9">IF(H66=0,0,I66/H66)</f>
        <v>0.265527763320942</v>
      </c>
      <c r="N66" s="11">
        <v>0</v>
      </c>
      <c r="O66" s="11">
        <v>0</v>
      </c>
      <c r="P66" s="11">
        <v>898.67</v>
      </c>
      <c r="Q66" s="13">
        <f t="shared" ref="Q66:Q129" si="10">IF(I66=0,0,P66/I66)</f>
        <v>1.04847186453688</v>
      </c>
      <c r="R66" s="11">
        <v>898.67</v>
      </c>
      <c r="S66" s="13">
        <f t="shared" ref="S66:S129" si="11">IF(I66=0,0,R66/I66)</f>
        <v>1.04847186453688</v>
      </c>
      <c r="T66" s="9">
        <v>13568</v>
      </c>
      <c r="U66" s="13">
        <f t="shared" ref="U66:U129" si="12">IF(I66=0,0,T66/I66)</f>
        <v>15.8296886043112</v>
      </c>
      <c r="V66" s="12">
        <f t="shared" ref="V66:V129" si="13">IF(G66=0,0,T66/G66)</f>
        <v>0.216564779492746</v>
      </c>
      <c r="W66" s="17">
        <f>COUNTIFS(源数据[日期],源数据[[#This Row],[日期]],源数据[账号id],源数据[[#This Row],[账号id]])</f>
        <v>1</v>
      </c>
      <c r="X66" s="15">
        <f>IFERROR(源数据[[#This Row],[点击量]]/源数据[[#This Row],[展示量]],"")</f>
        <v>0.0515235191776668</v>
      </c>
      <c r="Y66" s="16">
        <f>IFERROR(源数据[[#This Row],[播放量]]/源数据[[#This Row],[展示量]],"")</f>
        <v>0.216564779492746</v>
      </c>
      <c r="Z66" s="16">
        <f>IFERROR(源数据[[#This Row],[三连投放总消耗(毫分)]]/源数据[[#This Row],[播放量]],"")</f>
        <v>0.063172436615566</v>
      </c>
      <c r="AA6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67" s="2" customFormat="1" spans="1:27">
      <c r="A67" s="7">
        <v>46204</v>
      </c>
      <c r="B67" s="8" t="s">
        <v>228</v>
      </c>
      <c r="C67" s="8" t="s">
        <v>229</v>
      </c>
      <c r="D67" s="8" t="s">
        <v>91</v>
      </c>
      <c r="E67" s="8" t="s">
        <v>92</v>
      </c>
      <c r="F67" s="8" t="s">
        <v>96</v>
      </c>
      <c r="G67" s="9">
        <v>105011</v>
      </c>
      <c r="H67" s="9">
        <v>3156</v>
      </c>
      <c r="I67" s="10">
        <v>824.62073</v>
      </c>
      <c r="J67" s="11">
        <v>824.51</v>
      </c>
      <c r="K67" s="12">
        <f t="shared" si="7"/>
        <v>0.0300539943434497</v>
      </c>
      <c r="L67" s="13">
        <f t="shared" si="8"/>
        <v>7.85270809724696</v>
      </c>
      <c r="M67" s="13">
        <f t="shared" si="9"/>
        <v>0.261286669835234</v>
      </c>
      <c r="N67" s="11">
        <v>0</v>
      </c>
      <c r="O67" s="11">
        <v>0</v>
      </c>
      <c r="P67" s="11">
        <v>884.91</v>
      </c>
      <c r="Q67" s="13">
        <f t="shared" si="10"/>
        <v>1.07311151394411</v>
      </c>
      <c r="R67" s="11">
        <v>884.91</v>
      </c>
      <c r="S67" s="13">
        <f t="shared" si="11"/>
        <v>1.07311151394411</v>
      </c>
      <c r="T67" s="9">
        <v>13699</v>
      </c>
      <c r="U67" s="13">
        <f t="shared" si="12"/>
        <v>16.6124855968634</v>
      </c>
      <c r="V67" s="12">
        <f t="shared" si="13"/>
        <v>0.130453000161888</v>
      </c>
      <c r="W67" s="17">
        <f>COUNTIFS(源数据[日期],源数据[[#This Row],[日期]],源数据[账号id],源数据[[#This Row],[账号id]])</f>
        <v>1</v>
      </c>
      <c r="X67" s="15">
        <f>IFERROR(源数据[[#This Row],[点击量]]/源数据[[#This Row],[展示量]],"")</f>
        <v>0.0300539943434497</v>
      </c>
      <c r="Y67" s="16">
        <f>IFERROR(源数据[[#This Row],[播放量]]/源数据[[#This Row],[展示量]],"")</f>
        <v>0.130453000161888</v>
      </c>
      <c r="Z67" s="16">
        <f>IFERROR(源数据[[#This Row],[三连投放总消耗(毫分)]]/源数据[[#This Row],[播放量]],"")</f>
        <v>0.0601956880064238</v>
      </c>
      <c r="AA6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68" s="2" customFormat="1" spans="1:27">
      <c r="A68" s="7">
        <v>46204</v>
      </c>
      <c r="B68" s="8" t="s">
        <v>230</v>
      </c>
      <c r="C68" s="8" t="s">
        <v>231</v>
      </c>
      <c r="D68" s="8" t="s">
        <v>91</v>
      </c>
      <c r="E68" s="8" t="s">
        <v>92</v>
      </c>
      <c r="F68" s="8" t="s">
        <v>93</v>
      </c>
      <c r="G68" s="9">
        <v>87538</v>
      </c>
      <c r="H68" s="9">
        <v>2494</v>
      </c>
      <c r="I68" s="10">
        <v>817.85397</v>
      </c>
      <c r="J68" s="11">
        <v>817.78</v>
      </c>
      <c r="K68" s="12">
        <f t="shared" si="7"/>
        <v>0.0284904841326053</v>
      </c>
      <c r="L68" s="13">
        <f t="shared" si="8"/>
        <v>9.34284505014965</v>
      </c>
      <c r="M68" s="13">
        <f t="shared" si="9"/>
        <v>0.327928616680032</v>
      </c>
      <c r="N68" s="11">
        <v>0</v>
      </c>
      <c r="O68" s="11">
        <v>0</v>
      </c>
      <c r="P68" s="11">
        <v>831.77</v>
      </c>
      <c r="Q68" s="13">
        <f t="shared" si="10"/>
        <v>1.01701529919822</v>
      </c>
      <c r="R68" s="11">
        <v>831.77</v>
      </c>
      <c r="S68" s="13">
        <f t="shared" si="11"/>
        <v>1.01701529919822</v>
      </c>
      <c r="T68" s="9">
        <v>23119</v>
      </c>
      <c r="U68" s="13">
        <f t="shared" si="12"/>
        <v>28.2678825903358</v>
      </c>
      <c r="V68" s="12">
        <f t="shared" si="13"/>
        <v>0.26410244693733</v>
      </c>
      <c r="W68" s="17">
        <f>COUNTIFS(源数据[日期],源数据[[#This Row],[日期]],源数据[账号id],源数据[[#This Row],[账号id]])</f>
        <v>1</v>
      </c>
      <c r="X68" s="15">
        <f>IFERROR(源数据[[#This Row],[点击量]]/源数据[[#This Row],[展示量]],"")</f>
        <v>0.0284904841326053</v>
      </c>
      <c r="Y68" s="16">
        <f>IFERROR(源数据[[#This Row],[播放量]]/源数据[[#This Row],[展示量]],"")</f>
        <v>0.26410244693733</v>
      </c>
      <c r="Z68" s="16">
        <f>IFERROR(源数据[[#This Row],[三连投放总消耗(毫分)]]/源数据[[#This Row],[播放量]],"")</f>
        <v>0.0353758367576452</v>
      </c>
      <c r="AA6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69" s="2" customFormat="1" spans="1:27">
      <c r="A69" s="7">
        <v>46204</v>
      </c>
      <c r="B69" s="8" t="s">
        <v>232</v>
      </c>
      <c r="C69" s="8" t="s">
        <v>233</v>
      </c>
      <c r="D69" s="8" t="s">
        <v>91</v>
      </c>
      <c r="E69" s="8" t="s">
        <v>92</v>
      </c>
      <c r="F69" s="8" t="s">
        <v>110</v>
      </c>
      <c r="G69" s="9">
        <v>102499</v>
      </c>
      <c r="H69" s="9">
        <v>5791</v>
      </c>
      <c r="I69" s="10">
        <v>806.67553</v>
      </c>
      <c r="J69" s="11">
        <v>806.59</v>
      </c>
      <c r="K69" s="12">
        <f t="shared" si="7"/>
        <v>0.0564981121767042</v>
      </c>
      <c r="L69" s="13">
        <f t="shared" si="8"/>
        <v>7.87008195201904</v>
      </c>
      <c r="M69" s="13">
        <f t="shared" si="9"/>
        <v>0.139298140217579</v>
      </c>
      <c r="N69" s="11">
        <v>234.88</v>
      </c>
      <c r="O69" s="11">
        <v>234.88</v>
      </c>
      <c r="P69" s="11">
        <v>543.09</v>
      </c>
      <c r="Q69" s="13">
        <f t="shared" si="10"/>
        <v>0.673244668770354</v>
      </c>
      <c r="R69" s="11">
        <v>777.97</v>
      </c>
      <c r="S69" s="13">
        <f t="shared" si="11"/>
        <v>0.964415023225013</v>
      </c>
      <c r="T69" s="9">
        <v>11075</v>
      </c>
      <c r="U69" s="13">
        <f t="shared" si="12"/>
        <v>13.7291879921038</v>
      </c>
      <c r="V69" s="12">
        <f t="shared" si="13"/>
        <v>0.108049834632533</v>
      </c>
      <c r="W69" s="17">
        <f>COUNTIFS(源数据[日期],源数据[[#This Row],[日期]],源数据[账号id],源数据[[#This Row],[账号id]])</f>
        <v>1</v>
      </c>
      <c r="X69" s="15">
        <f>IFERROR(源数据[[#This Row],[点击量]]/源数据[[#This Row],[展示量]],"")</f>
        <v>0.0564981121767042</v>
      </c>
      <c r="Y69" s="16">
        <f>IFERROR(源数据[[#This Row],[播放量]]/源数据[[#This Row],[展示量]],"")</f>
        <v>0.108049834632533</v>
      </c>
      <c r="Z69" s="16">
        <f>IFERROR(源数据[[#This Row],[三连投放总消耗(毫分)]]/源数据[[#This Row],[播放量]],"")</f>
        <v>0.0728375196388262</v>
      </c>
      <c r="AA6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70" s="2" customFormat="1" spans="1:27">
      <c r="A70" s="7">
        <v>46204</v>
      </c>
      <c r="B70" s="8" t="s">
        <v>234</v>
      </c>
      <c r="C70" s="8" t="s">
        <v>235</v>
      </c>
      <c r="D70" s="8" t="s">
        <v>91</v>
      </c>
      <c r="E70" s="8" t="s">
        <v>92</v>
      </c>
      <c r="F70" s="8" t="s">
        <v>93</v>
      </c>
      <c r="G70" s="9">
        <v>65803</v>
      </c>
      <c r="H70" s="9">
        <v>3564</v>
      </c>
      <c r="I70" s="10">
        <v>781.09818</v>
      </c>
      <c r="J70" s="11">
        <v>780.99</v>
      </c>
      <c r="K70" s="12">
        <f t="shared" si="7"/>
        <v>0.0541616643618072</v>
      </c>
      <c r="L70" s="13">
        <f t="shared" si="8"/>
        <v>11.8702518122274</v>
      </c>
      <c r="M70" s="13">
        <f t="shared" si="9"/>
        <v>0.21916335016835</v>
      </c>
      <c r="N70" s="11">
        <v>0</v>
      </c>
      <c r="O70" s="11">
        <v>0</v>
      </c>
      <c r="P70" s="11">
        <v>799.92</v>
      </c>
      <c r="Q70" s="13">
        <f t="shared" si="10"/>
        <v>1.02409661228503</v>
      </c>
      <c r="R70" s="11">
        <v>799.92</v>
      </c>
      <c r="S70" s="13">
        <f t="shared" si="11"/>
        <v>1.02409661228503</v>
      </c>
      <c r="T70" s="9">
        <v>14573</v>
      </c>
      <c r="U70" s="13">
        <f t="shared" si="12"/>
        <v>18.6570656200991</v>
      </c>
      <c r="V70" s="12">
        <f t="shared" si="13"/>
        <v>0.221464066987827</v>
      </c>
      <c r="W70" s="17">
        <f>COUNTIFS(源数据[日期],源数据[[#This Row],[日期]],源数据[账号id],源数据[[#This Row],[账号id]])</f>
        <v>1</v>
      </c>
      <c r="X70" s="15">
        <f>IFERROR(源数据[[#This Row],[点击量]]/源数据[[#This Row],[展示量]],"")</f>
        <v>0.0541616643618072</v>
      </c>
      <c r="Y70" s="16">
        <f>IFERROR(源数据[[#This Row],[播放量]]/源数据[[#This Row],[展示量]],"")</f>
        <v>0.221464066987827</v>
      </c>
      <c r="Z70" s="16">
        <f>IFERROR(源数据[[#This Row],[三连投放总消耗(毫分)]]/源数据[[#This Row],[播放量]],"")</f>
        <v>0.0535989967748576</v>
      </c>
      <c r="AA7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71" s="2" customFormat="1" spans="1:27">
      <c r="A71" s="7">
        <v>46204</v>
      </c>
      <c r="B71" s="8" t="s">
        <v>236</v>
      </c>
      <c r="C71" s="8" t="s">
        <v>237</v>
      </c>
      <c r="D71" s="8" t="s">
        <v>91</v>
      </c>
      <c r="E71" s="8" t="s">
        <v>92</v>
      </c>
      <c r="F71" s="8" t="s">
        <v>96</v>
      </c>
      <c r="G71" s="9">
        <v>84196</v>
      </c>
      <c r="H71" s="9">
        <v>1934</v>
      </c>
      <c r="I71" s="10">
        <v>770.16542</v>
      </c>
      <c r="J71" s="11">
        <v>770.06</v>
      </c>
      <c r="K71" s="12">
        <f t="shared" si="7"/>
        <v>0.0229702123616324</v>
      </c>
      <c r="L71" s="13">
        <f t="shared" si="8"/>
        <v>9.14729227041665</v>
      </c>
      <c r="M71" s="13">
        <f t="shared" si="9"/>
        <v>0.398224105480869</v>
      </c>
      <c r="N71" s="11">
        <v>0</v>
      </c>
      <c r="O71" s="11">
        <v>0</v>
      </c>
      <c r="P71" s="11">
        <v>755.99</v>
      </c>
      <c r="Q71" s="13">
        <f t="shared" si="10"/>
        <v>0.981594317750594</v>
      </c>
      <c r="R71" s="11">
        <v>755.99</v>
      </c>
      <c r="S71" s="13">
        <f t="shared" si="11"/>
        <v>0.981594317750594</v>
      </c>
      <c r="T71" s="9">
        <v>17694</v>
      </c>
      <c r="U71" s="13">
        <f t="shared" si="12"/>
        <v>22.9742851866811</v>
      </c>
      <c r="V71" s="12">
        <f t="shared" si="13"/>
        <v>0.210152501306475</v>
      </c>
      <c r="W71" s="17">
        <f>COUNTIFS(源数据[日期],源数据[[#This Row],[日期]],源数据[账号id],源数据[[#This Row],[账号id]])</f>
        <v>1</v>
      </c>
      <c r="X71" s="15">
        <f>IFERROR(源数据[[#This Row],[点击量]]/源数据[[#This Row],[展示量]],"")</f>
        <v>0.0229702123616324</v>
      </c>
      <c r="Y71" s="16">
        <f>IFERROR(源数据[[#This Row],[播放量]]/源数据[[#This Row],[展示量]],"")</f>
        <v>0.210152501306475</v>
      </c>
      <c r="Z71" s="16">
        <f>IFERROR(源数据[[#This Row],[三连投放总消耗(毫分)]]/源数据[[#This Row],[播放量]],"")</f>
        <v>0.0435269255114728</v>
      </c>
      <c r="AA7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72" s="2" customFormat="1" spans="1:27">
      <c r="A72" s="7">
        <v>46204</v>
      </c>
      <c r="B72" s="8" t="s">
        <v>238</v>
      </c>
      <c r="C72" s="8" t="s">
        <v>239</v>
      </c>
      <c r="D72" s="8" t="s">
        <v>91</v>
      </c>
      <c r="E72" s="8" t="s">
        <v>92</v>
      </c>
      <c r="F72" s="8" t="s">
        <v>93</v>
      </c>
      <c r="G72" s="9">
        <v>58485</v>
      </c>
      <c r="H72" s="9">
        <v>2223</v>
      </c>
      <c r="I72" s="10">
        <v>736.85731</v>
      </c>
      <c r="J72" s="11">
        <v>736.79</v>
      </c>
      <c r="K72" s="12">
        <f t="shared" si="7"/>
        <v>0.0380097460887407</v>
      </c>
      <c r="L72" s="13">
        <f t="shared" si="8"/>
        <v>12.5990819868342</v>
      </c>
      <c r="M72" s="13">
        <f t="shared" si="9"/>
        <v>0.331469775078722</v>
      </c>
      <c r="N72" s="11">
        <v>0</v>
      </c>
      <c r="O72" s="11">
        <v>0</v>
      </c>
      <c r="P72" s="11">
        <v>755.9</v>
      </c>
      <c r="Q72" s="13">
        <f t="shared" si="10"/>
        <v>1.02584311744156</v>
      </c>
      <c r="R72" s="11">
        <v>755.9</v>
      </c>
      <c r="S72" s="13">
        <f t="shared" si="11"/>
        <v>1.02584311744156</v>
      </c>
      <c r="T72" s="9">
        <v>13916</v>
      </c>
      <c r="U72" s="13">
        <f t="shared" si="12"/>
        <v>18.8856102954316</v>
      </c>
      <c r="V72" s="12">
        <f t="shared" si="13"/>
        <v>0.237941352483543</v>
      </c>
      <c r="W72" s="17">
        <f>COUNTIFS(源数据[日期],源数据[[#This Row],[日期]],源数据[账号id],源数据[[#This Row],[账号id]])</f>
        <v>1</v>
      </c>
      <c r="X72" s="15">
        <f>IFERROR(源数据[[#This Row],[点击量]]/源数据[[#This Row],[展示量]],"")</f>
        <v>0.0380097460887407</v>
      </c>
      <c r="Y72" s="16">
        <f>IFERROR(源数据[[#This Row],[播放量]]/源数据[[#This Row],[展示量]],"")</f>
        <v>0.237941352483543</v>
      </c>
      <c r="Z72" s="16">
        <f>IFERROR(源数据[[#This Row],[三连投放总消耗(毫分)]]/源数据[[#This Row],[播放量]],"")</f>
        <v>0.0529503672032193</v>
      </c>
      <c r="AA7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73" s="2" customFormat="1" spans="1:27">
      <c r="A73" s="7">
        <v>46204</v>
      </c>
      <c r="B73" s="8" t="s">
        <v>240</v>
      </c>
      <c r="C73" s="8" t="s">
        <v>241</v>
      </c>
      <c r="D73" s="8" t="s">
        <v>91</v>
      </c>
      <c r="E73" s="8" t="s">
        <v>92</v>
      </c>
      <c r="F73" s="8" t="s">
        <v>96</v>
      </c>
      <c r="G73" s="9">
        <v>230505</v>
      </c>
      <c r="H73" s="9">
        <v>7545</v>
      </c>
      <c r="I73" s="10">
        <v>734.75253</v>
      </c>
      <c r="J73" s="11">
        <v>734.63</v>
      </c>
      <c r="K73" s="12">
        <f t="shared" si="7"/>
        <v>0.0327324786880979</v>
      </c>
      <c r="L73" s="13">
        <f t="shared" si="8"/>
        <v>3.18757740613002</v>
      </c>
      <c r="M73" s="13">
        <f t="shared" si="9"/>
        <v>0.0973827077534791</v>
      </c>
      <c r="N73" s="11">
        <v>0</v>
      </c>
      <c r="O73" s="11">
        <v>0</v>
      </c>
      <c r="P73" s="11">
        <v>750.84</v>
      </c>
      <c r="Q73" s="13">
        <f t="shared" si="10"/>
        <v>1.0218950862272</v>
      </c>
      <c r="R73" s="11">
        <v>750.84</v>
      </c>
      <c r="S73" s="13">
        <f t="shared" si="11"/>
        <v>1.0218950862272</v>
      </c>
      <c r="T73" s="9">
        <v>9846</v>
      </c>
      <c r="U73" s="13">
        <f t="shared" si="12"/>
        <v>13.4004302101552</v>
      </c>
      <c r="V73" s="12">
        <f t="shared" si="13"/>
        <v>0.042714908570313</v>
      </c>
      <c r="W73" s="17">
        <f>COUNTIFS(源数据[日期],源数据[[#This Row],[日期]],源数据[账号id],源数据[[#This Row],[账号id]])</f>
        <v>1</v>
      </c>
      <c r="X73" s="15">
        <f>IFERROR(源数据[[#This Row],[点击量]]/源数据[[#This Row],[展示量]],"")</f>
        <v>0.0327324786880979</v>
      </c>
      <c r="Y73" s="16">
        <f>IFERROR(源数据[[#This Row],[播放量]]/源数据[[#This Row],[展示量]],"")</f>
        <v>0.042714908570313</v>
      </c>
      <c r="Z73" s="16">
        <f>IFERROR(源数据[[#This Row],[三连投放总消耗(毫分)]]/源数据[[#This Row],[播放量]],"")</f>
        <v>0.0746244698354662</v>
      </c>
      <c r="AA7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74" s="2" customFormat="1" spans="1:27">
      <c r="A74" s="7">
        <v>46204</v>
      </c>
      <c r="B74" s="8" t="s">
        <v>242</v>
      </c>
      <c r="C74" s="8" t="s">
        <v>243</v>
      </c>
      <c r="D74" s="8" t="s">
        <v>91</v>
      </c>
      <c r="E74" s="8" t="s">
        <v>92</v>
      </c>
      <c r="F74" s="8" t="s">
        <v>101</v>
      </c>
      <c r="G74" s="9">
        <v>101560</v>
      </c>
      <c r="H74" s="9">
        <v>825</v>
      </c>
      <c r="I74" s="10">
        <v>716.51114</v>
      </c>
      <c r="J74" s="11">
        <v>716.4</v>
      </c>
      <c r="K74" s="12">
        <f t="shared" si="7"/>
        <v>0.00812327688066168</v>
      </c>
      <c r="L74" s="13">
        <f t="shared" si="8"/>
        <v>7.05505257975581</v>
      </c>
      <c r="M74" s="13">
        <f t="shared" si="9"/>
        <v>0.868498351515151</v>
      </c>
      <c r="N74" s="11">
        <v>0</v>
      </c>
      <c r="O74" s="11">
        <v>0</v>
      </c>
      <c r="P74" s="11">
        <v>730.95</v>
      </c>
      <c r="Q74" s="13">
        <f t="shared" si="10"/>
        <v>1.02015161969429</v>
      </c>
      <c r="R74" s="11">
        <v>730.95</v>
      </c>
      <c r="S74" s="13">
        <f t="shared" si="11"/>
        <v>1.02015161969429</v>
      </c>
      <c r="T74" s="9">
        <v>25715</v>
      </c>
      <c r="U74" s="13">
        <f t="shared" si="12"/>
        <v>35.8891838025017</v>
      </c>
      <c r="V74" s="12">
        <f t="shared" si="13"/>
        <v>0.25320007877117</v>
      </c>
      <c r="W74" s="17">
        <f>COUNTIFS(源数据[日期],源数据[[#This Row],[日期]],源数据[账号id],源数据[[#This Row],[账号id]])</f>
        <v>1</v>
      </c>
      <c r="X74" s="15">
        <f>IFERROR(源数据[[#This Row],[点击量]]/源数据[[#This Row],[展示量]],"")</f>
        <v>0.00812327688066168</v>
      </c>
      <c r="Y74" s="16">
        <f>IFERROR(源数据[[#This Row],[播放量]]/源数据[[#This Row],[展示量]],"")</f>
        <v>0.25320007877117</v>
      </c>
      <c r="Z74" s="16">
        <f>IFERROR(源数据[[#This Row],[三连投放总消耗(毫分)]]/源数据[[#This Row],[播放量]],"")</f>
        <v>0.0278635481236632</v>
      </c>
      <c r="AA7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75" s="2" customFormat="1" spans="1:27">
      <c r="A75" s="7">
        <v>46204</v>
      </c>
      <c r="B75" s="8" t="s">
        <v>244</v>
      </c>
      <c r="C75" s="8" t="s">
        <v>245</v>
      </c>
      <c r="D75" s="8" t="s">
        <v>91</v>
      </c>
      <c r="E75" s="8" t="s">
        <v>92</v>
      </c>
      <c r="F75" s="8" t="s">
        <v>115</v>
      </c>
      <c r="G75" s="9">
        <v>66357</v>
      </c>
      <c r="H75" s="9">
        <v>3735</v>
      </c>
      <c r="I75" s="10">
        <v>712.69223</v>
      </c>
      <c r="J75" s="11">
        <v>712.57</v>
      </c>
      <c r="K75" s="12">
        <f t="shared" si="7"/>
        <v>0.0562864505628645</v>
      </c>
      <c r="L75" s="13">
        <f t="shared" si="8"/>
        <v>10.7402720135027</v>
      </c>
      <c r="M75" s="13">
        <f t="shared" si="9"/>
        <v>0.190814519410977</v>
      </c>
      <c r="N75" s="11">
        <v>0</v>
      </c>
      <c r="O75" s="11">
        <v>0</v>
      </c>
      <c r="P75" s="11">
        <v>764.96</v>
      </c>
      <c r="Q75" s="13">
        <f t="shared" si="10"/>
        <v>1.07333848721769</v>
      </c>
      <c r="R75" s="11">
        <v>764.96</v>
      </c>
      <c r="S75" s="13">
        <f t="shared" si="11"/>
        <v>1.07333848721769</v>
      </c>
      <c r="T75" s="9">
        <v>9759</v>
      </c>
      <c r="U75" s="13">
        <f t="shared" si="12"/>
        <v>13.6931477420485</v>
      </c>
      <c r="V75" s="12">
        <f t="shared" si="13"/>
        <v>0.147068131470681</v>
      </c>
      <c r="W75" s="17">
        <f>COUNTIFS(源数据[日期],源数据[[#This Row],[日期]],源数据[账号id],源数据[[#This Row],[账号id]])</f>
        <v>1</v>
      </c>
      <c r="X75" s="15">
        <f>IFERROR(源数据[[#This Row],[点击量]]/源数据[[#This Row],[展示量]],"")</f>
        <v>0.0562864505628645</v>
      </c>
      <c r="Y75" s="16">
        <f>IFERROR(源数据[[#This Row],[播放量]]/源数据[[#This Row],[展示量]],"")</f>
        <v>0.147068131470681</v>
      </c>
      <c r="Z75" s="16">
        <f>IFERROR(源数据[[#This Row],[三连投放总消耗(毫分)]]/源数据[[#This Row],[播放量]],"")</f>
        <v>0.0730292273798545</v>
      </c>
      <c r="AA7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76" s="2" customFormat="1" spans="1:27">
      <c r="A76" s="7">
        <v>46204</v>
      </c>
      <c r="B76" s="8" t="s">
        <v>246</v>
      </c>
      <c r="C76" s="8" t="s">
        <v>247</v>
      </c>
      <c r="D76" s="8" t="s">
        <v>91</v>
      </c>
      <c r="E76" s="8" t="s">
        <v>92</v>
      </c>
      <c r="F76" s="8" t="s">
        <v>96</v>
      </c>
      <c r="G76" s="9">
        <v>59635</v>
      </c>
      <c r="H76" s="9">
        <v>1168</v>
      </c>
      <c r="I76" s="10">
        <v>708.10888</v>
      </c>
      <c r="J76" s="11">
        <v>708.01</v>
      </c>
      <c r="K76" s="12">
        <f t="shared" si="7"/>
        <v>0.0195858137000084</v>
      </c>
      <c r="L76" s="13">
        <f t="shared" si="8"/>
        <v>11.874048461474</v>
      </c>
      <c r="M76" s="13">
        <f t="shared" si="9"/>
        <v>0.606257602739726</v>
      </c>
      <c r="N76" s="11">
        <v>0</v>
      </c>
      <c r="O76" s="11">
        <v>0</v>
      </c>
      <c r="P76" s="11">
        <v>742.77</v>
      </c>
      <c r="Q76" s="13">
        <f t="shared" si="10"/>
        <v>1.04894885656567</v>
      </c>
      <c r="R76" s="11">
        <v>742.77</v>
      </c>
      <c r="S76" s="13">
        <f t="shared" si="11"/>
        <v>1.04894885656567</v>
      </c>
      <c r="T76" s="9">
        <v>13389</v>
      </c>
      <c r="U76" s="13">
        <f t="shared" si="12"/>
        <v>18.90810915971</v>
      </c>
      <c r="V76" s="12">
        <f t="shared" si="13"/>
        <v>0.224515804477237</v>
      </c>
      <c r="W76" s="17">
        <f>COUNTIFS(源数据[日期],源数据[[#This Row],[日期]],源数据[账号id],源数据[[#This Row],[账号id]])</f>
        <v>1</v>
      </c>
      <c r="X76" s="15">
        <f>IFERROR(源数据[[#This Row],[点击量]]/源数据[[#This Row],[展示量]],"")</f>
        <v>0.0195858137000084</v>
      </c>
      <c r="Y76" s="16">
        <f>IFERROR(源数据[[#This Row],[播放量]]/源数据[[#This Row],[展示量]],"")</f>
        <v>0.224515804477237</v>
      </c>
      <c r="Z76" s="16">
        <f>IFERROR(源数据[[#This Row],[三连投放总消耗(毫分)]]/源数据[[#This Row],[播放量]],"")</f>
        <v>0.0528873612667115</v>
      </c>
      <c r="AA7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77" s="2" customFormat="1" spans="1:27">
      <c r="A77" s="7">
        <v>46204</v>
      </c>
      <c r="B77" s="8" t="s">
        <v>248</v>
      </c>
      <c r="C77" s="8" t="s">
        <v>249</v>
      </c>
      <c r="D77" s="8" t="s">
        <v>91</v>
      </c>
      <c r="E77" s="8" t="s">
        <v>92</v>
      </c>
      <c r="F77" s="8" t="s">
        <v>115</v>
      </c>
      <c r="G77" s="9">
        <v>77541</v>
      </c>
      <c r="H77" s="9">
        <v>2535</v>
      </c>
      <c r="I77" s="10">
        <v>706.87797</v>
      </c>
      <c r="J77" s="11">
        <v>706.77</v>
      </c>
      <c r="K77" s="12">
        <f t="shared" si="7"/>
        <v>0.0326923820946338</v>
      </c>
      <c r="L77" s="13">
        <f t="shared" si="8"/>
        <v>9.11618330947499</v>
      </c>
      <c r="M77" s="13">
        <f t="shared" si="9"/>
        <v>0.278847325443787</v>
      </c>
      <c r="N77" s="11">
        <v>0</v>
      </c>
      <c r="O77" s="11">
        <v>0</v>
      </c>
      <c r="P77" s="11">
        <v>740.86</v>
      </c>
      <c r="Q77" s="13">
        <f t="shared" si="10"/>
        <v>1.0480734036739</v>
      </c>
      <c r="R77" s="11">
        <v>740.86</v>
      </c>
      <c r="S77" s="13">
        <f t="shared" si="11"/>
        <v>1.0480734036739</v>
      </c>
      <c r="T77" s="9">
        <v>19810</v>
      </c>
      <c r="U77" s="13">
        <f t="shared" si="12"/>
        <v>28.0246391042573</v>
      </c>
      <c r="V77" s="12">
        <f t="shared" si="13"/>
        <v>0.25547774725629</v>
      </c>
      <c r="W77" s="17">
        <f>COUNTIFS(源数据[日期],源数据[[#This Row],[日期]],源数据[账号id],源数据[[#This Row],[账号id]])</f>
        <v>1</v>
      </c>
      <c r="X77" s="15">
        <f>IFERROR(源数据[[#This Row],[点击量]]/源数据[[#This Row],[展示量]],"")</f>
        <v>0.0326923820946338</v>
      </c>
      <c r="Y77" s="16">
        <f>IFERROR(源数据[[#This Row],[播放量]]/源数据[[#This Row],[展示量]],"")</f>
        <v>0.25547774725629</v>
      </c>
      <c r="Z77" s="16">
        <f>IFERROR(源数据[[#This Row],[三连投放总消耗(毫分)]]/源数据[[#This Row],[播放量]],"")</f>
        <v>0.0356828859162039</v>
      </c>
      <c r="AA7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78" s="2" customFormat="1" spans="1:27">
      <c r="A78" s="7">
        <v>46204</v>
      </c>
      <c r="B78" s="8" t="s">
        <v>250</v>
      </c>
      <c r="C78" s="8" t="s">
        <v>251</v>
      </c>
      <c r="D78" s="8" t="s">
        <v>91</v>
      </c>
      <c r="E78" s="8" t="s">
        <v>92</v>
      </c>
      <c r="F78" s="8" t="s">
        <v>96</v>
      </c>
      <c r="G78" s="9">
        <v>139726</v>
      </c>
      <c r="H78" s="9">
        <v>4561</v>
      </c>
      <c r="I78" s="10">
        <v>698.69827</v>
      </c>
      <c r="J78" s="11">
        <v>698.58</v>
      </c>
      <c r="K78" s="12">
        <f t="shared" si="7"/>
        <v>0.032642457380874</v>
      </c>
      <c r="L78" s="13">
        <f t="shared" si="8"/>
        <v>5.00048859911541</v>
      </c>
      <c r="M78" s="13">
        <f t="shared" si="9"/>
        <v>0.153189710589783</v>
      </c>
      <c r="N78" s="11">
        <v>0</v>
      </c>
      <c r="O78" s="11">
        <v>0</v>
      </c>
      <c r="P78" s="11">
        <v>739.38</v>
      </c>
      <c r="Q78" s="13">
        <f t="shared" si="10"/>
        <v>1.05822503324647</v>
      </c>
      <c r="R78" s="11">
        <v>739.38</v>
      </c>
      <c r="S78" s="13">
        <f t="shared" si="11"/>
        <v>1.05822503324647</v>
      </c>
      <c r="T78" s="9">
        <v>9744</v>
      </c>
      <c r="U78" s="13">
        <f t="shared" si="12"/>
        <v>13.9459340582023</v>
      </c>
      <c r="V78" s="12">
        <f t="shared" si="13"/>
        <v>0.0697364842620557</v>
      </c>
      <c r="W78" s="17">
        <f>COUNTIFS(源数据[日期],源数据[[#This Row],[日期]],源数据[账号id],源数据[[#This Row],[账号id]])</f>
        <v>1</v>
      </c>
      <c r="X78" s="15">
        <f>IFERROR(源数据[[#This Row],[点击量]]/源数据[[#This Row],[展示量]],"")</f>
        <v>0.032642457380874</v>
      </c>
      <c r="Y78" s="16">
        <f>IFERROR(源数据[[#This Row],[播放量]]/源数据[[#This Row],[展示量]],"")</f>
        <v>0.0697364842620557</v>
      </c>
      <c r="Z78" s="16">
        <f>IFERROR(源数据[[#This Row],[三连投放总消耗(毫分)]]/源数据[[#This Row],[播放量]],"")</f>
        <v>0.0717054874794745</v>
      </c>
      <c r="AA7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79" s="2" customFormat="1" spans="1:27">
      <c r="A79" s="7">
        <v>46204</v>
      </c>
      <c r="B79" s="8" t="s">
        <v>252</v>
      </c>
      <c r="C79" s="8" t="s">
        <v>253</v>
      </c>
      <c r="D79" s="8" t="s">
        <v>91</v>
      </c>
      <c r="E79" s="8" t="s">
        <v>92</v>
      </c>
      <c r="F79" s="8" t="s">
        <v>115</v>
      </c>
      <c r="G79" s="9">
        <v>54148</v>
      </c>
      <c r="H79" s="9">
        <v>4095</v>
      </c>
      <c r="I79" s="10">
        <v>684.77417</v>
      </c>
      <c r="J79" s="11">
        <v>684.67</v>
      </c>
      <c r="K79" s="12">
        <f t="shared" si="7"/>
        <v>0.0756260619044101</v>
      </c>
      <c r="L79" s="13">
        <f t="shared" si="8"/>
        <v>12.6463428012115</v>
      </c>
      <c r="M79" s="13">
        <f t="shared" si="9"/>
        <v>0.16722201953602</v>
      </c>
      <c r="N79" s="11">
        <v>0</v>
      </c>
      <c r="O79" s="11">
        <v>0</v>
      </c>
      <c r="P79" s="11">
        <v>718.72</v>
      </c>
      <c r="Q79" s="13">
        <f t="shared" si="10"/>
        <v>1.04957229914207</v>
      </c>
      <c r="R79" s="11">
        <v>718.72</v>
      </c>
      <c r="S79" s="13">
        <f t="shared" si="11"/>
        <v>1.04957229914207</v>
      </c>
      <c r="T79" s="9">
        <v>12195</v>
      </c>
      <c r="U79" s="13">
        <f t="shared" si="12"/>
        <v>17.808790889411</v>
      </c>
      <c r="V79" s="12">
        <f t="shared" si="13"/>
        <v>0.225216074462584</v>
      </c>
      <c r="W79" s="17">
        <f>COUNTIFS(源数据[日期],源数据[[#This Row],[日期]],源数据[账号id],源数据[[#This Row],[账号id]])</f>
        <v>1</v>
      </c>
      <c r="X79" s="15">
        <f>IFERROR(源数据[[#This Row],[点击量]]/源数据[[#This Row],[展示量]],"")</f>
        <v>0.0756260619044101</v>
      </c>
      <c r="Y79" s="16">
        <f>IFERROR(源数据[[#This Row],[播放量]]/源数据[[#This Row],[展示量]],"")</f>
        <v>0.225216074462584</v>
      </c>
      <c r="Z79" s="16">
        <f>IFERROR(源数据[[#This Row],[三连投放总消耗(毫分)]]/源数据[[#This Row],[播放量]],"")</f>
        <v>0.0561520434604346</v>
      </c>
      <c r="AA7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80" s="2" customFormat="1" spans="1:27">
      <c r="A80" s="7">
        <v>46204</v>
      </c>
      <c r="B80" s="8" t="s">
        <v>254</v>
      </c>
      <c r="C80" s="8" t="s">
        <v>255</v>
      </c>
      <c r="D80" s="8" t="s">
        <v>91</v>
      </c>
      <c r="E80" s="8" t="s">
        <v>92</v>
      </c>
      <c r="F80" s="8" t="s">
        <v>96</v>
      </c>
      <c r="G80" s="9">
        <v>245918</v>
      </c>
      <c r="H80" s="9">
        <v>2254</v>
      </c>
      <c r="I80" s="10">
        <v>674.1225</v>
      </c>
      <c r="J80" s="11">
        <v>674</v>
      </c>
      <c r="K80" s="12">
        <f t="shared" si="7"/>
        <v>0.00916565684496458</v>
      </c>
      <c r="L80" s="13">
        <f t="shared" si="8"/>
        <v>2.74124911555884</v>
      </c>
      <c r="M80" s="13">
        <f t="shared" si="9"/>
        <v>0.299078305235138</v>
      </c>
      <c r="N80" s="11">
        <v>0</v>
      </c>
      <c r="O80" s="11">
        <v>0</v>
      </c>
      <c r="P80" s="11">
        <v>667.75</v>
      </c>
      <c r="Q80" s="13">
        <f t="shared" si="10"/>
        <v>0.990546970320676</v>
      </c>
      <c r="R80" s="11">
        <v>667.75</v>
      </c>
      <c r="S80" s="13">
        <f t="shared" si="11"/>
        <v>0.990546970320676</v>
      </c>
      <c r="T80" s="9">
        <v>15601</v>
      </c>
      <c r="U80" s="13">
        <f t="shared" si="12"/>
        <v>23.1426780740889</v>
      </c>
      <c r="V80" s="12">
        <f t="shared" si="13"/>
        <v>0.0634398458022593</v>
      </c>
      <c r="W80" s="17">
        <f>COUNTIFS(源数据[日期],源数据[[#This Row],[日期]],源数据[账号id],源数据[[#This Row],[账号id]])</f>
        <v>1</v>
      </c>
      <c r="X80" s="15">
        <f>IFERROR(源数据[[#This Row],[点击量]]/源数据[[#This Row],[展示量]],"")</f>
        <v>0.00916565684496458</v>
      </c>
      <c r="Y80" s="16">
        <f>IFERROR(源数据[[#This Row],[播放量]]/源数据[[#This Row],[展示量]],"")</f>
        <v>0.0634398458022593</v>
      </c>
      <c r="Z80" s="16">
        <f>IFERROR(源数据[[#This Row],[三连投放总消耗(毫分)]]/源数据[[#This Row],[播放量]],"")</f>
        <v>0.0432102108839177</v>
      </c>
      <c r="AA8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81" s="2" customFormat="1" spans="1:27">
      <c r="A81" s="7">
        <v>46204</v>
      </c>
      <c r="B81" s="8" t="s">
        <v>256</v>
      </c>
      <c r="C81" s="8" t="s">
        <v>257</v>
      </c>
      <c r="D81" s="8" t="s">
        <v>91</v>
      </c>
      <c r="E81" s="8" t="s">
        <v>92</v>
      </c>
      <c r="F81" s="8" t="s">
        <v>115</v>
      </c>
      <c r="G81" s="9">
        <v>49131</v>
      </c>
      <c r="H81" s="9">
        <v>2191</v>
      </c>
      <c r="I81" s="10">
        <v>669.67043</v>
      </c>
      <c r="J81" s="11">
        <v>669.59</v>
      </c>
      <c r="K81" s="12">
        <f t="shared" si="7"/>
        <v>0.0445950621807006</v>
      </c>
      <c r="L81" s="13">
        <f t="shared" si="8"/>
        <v>13.6303032708473</v>
      </c>
      <c r="M81" s="13">
        <f t="shared" si="9"/>
        <v>0.305646020082154</v>
      </c>
      <c r="N81" s="11">
        <v>0</v>
      </c>
      <c r="O81" s="11">
        <v>0</v>
      </c>
      <c r="P81" s="11">
        <v>676.86</v>
      </c>
      <c r="Q81" s="13">
        <f t="shared" si="10"/>
        <v>1.01073598247424</v>
      </c>
      <c r="R81" s="11">
        <v>676.86</v>
      </c>
      <c r="S81" s="13">
        <f t="shared" si="11"/>
        <v>1.01073598247424</v>
      </c>
      <c r="T81" s="9">
        <v>11608</v>
      </c>
      <c r="U81" s="13">
        <f t="shared" si="12"/>
        <v>17.3338996019281</v>
      </c>
      <c r="V81" s="12">
        <f t="shared" si="13"/>
        <v>0.236266308440699</v>
      </c>
      <c r="W81" s="17">
        <f>COUNTIFS(源数据[日期],源数据[[#This Row],[日期]],源数据[账号id],源数据[[#This Row],[账号id]])</f>
        <v>1</v>
      </c>
      <c r="X81" s="15">
        <f>IFERROR(源数据[[#This Row],[点击量]]/源数据[[#This Row],[展示量]],"")</f>
        <v>0.0445950621807006</v>
      </c>
      <c r="Y81" s="16">
        <f>IFERROR(源数据[[#This Row],[播放量]]/源数据[[#This Row],[展示量]],"")</f>
        <v>0.236266308440699</v>
      </c>
      <c r="Z81" s="16">
        <f>IFERROR(源数据[[#This Row],[三连投放总消耗(毫分)]]/源数据[[#This Row],[播放量]],"")</f>
        <v>0.0576904229841489</v>
      </c>
      <c r="AA8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82" s="2" customFormat="1" spans="1:27">
      <c r="A82" s="7">
        <v>46204</v>
      </c>
      <c r="B82" s="8" t="s">
        <v>258</v>
      </c>
      <c r="C82" s="8" t="s">
        <v>259</v>
      </c>
      <c r="D82" s="8" t="s">
        <v>91</v>
      </c>
      <c r="E82" s="8" t="s">
        <v>92</v>
      </c>
      <c r="F82" s="8" t="s">
        <v>115</v>
      </c>
      <c r="G82" s="9">
        <v>41422</v>
      </c>
      <c r="H82" s="9">
        <v>2222</v>
      </c>
      <c r="I82" s="10">
        <v>656.41993</v>
      </c>
      <c r="J82" s="11">
        <v>656.34</v>
      </c>
      <c r="K82" s="12">
        <f t="shared" si="7"/>
        <v>0.0536429916469509</v>
      </c>
      <c r="L82" s="13">
        <f t="shared" si="8"/>
        <v>15.8471326831153</v>
      </c>
      <c r="M82" s="13">
        <f t="shared" si="9"/>
        <v>0.295418510351035</v>
      </c>
      <c r="N82" s="11">
        <v>0</v>
      </c>
      <c r="O82" s="11">
        <v>0</v>
      </c>
      <c r="P82" s="11">
        <v>686.96</v>
      </c>
      <c r="Q82" s="13">
        <f t="shared" si="10"/>
        <v>1.04652520224363</v>
      </c>
      <c r="R82" s="11">
        <v>686.96</v>
      </c>
      <c r="S82" s="13">
        <f t="shared" si="11"/>
        <v>1.04652520224363</v>
      </c>
      <c r="T82" s="9">
        <v>14444</v>
      </c>
      <c r="U82" s="13">
        <f t="shared" si="12"/>
        <v>22.0042069715951</v>
      </c>
      <c r="V82" s="12">
        <f t="shared" si="13"/>
        <v>0.348703587465598</v>
      </c>
      <c r="W82" s="17">
        <f>COUNTIFS(源数据[日期],源数据[[#This Row],[日期]],源数据[账号id],源数据[[#This Row],[账号id]])</f>
        <v>1</v>
      </c>
      <c r="X82" s="15">
        <f>IFERROR(源数据[[#This Row],[点击量]]/源数据[[#This Row],[展示量]],"")</f>
        <v>0.0536429916469509</v>
      </c>
      <c r="Y82" s="16">
        <f>IFERROR(源数据[[#This Row],[播放量]]/源数据[[#This Row],[展示量]],"")</f>
        <v>0.348703587465598</v>
      </c>
      <c r="Z82" s="16">
        <f>IFERROR(源数据[[#This Row],[三连投放总消耗(毫分)]]/源数据[[#This Row],[播放量]],"")</f>
        <v>0.0454458550263085</v>
      </c>
      <c r="AA8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83" s="2" customFormat="1" spans="1:27">
      <c r="A83" s="7">
        <v>46204</v>
      </c>
      <c r="B83" s="8" t="s">
        <v>260</v>
      </c>
      <c r="C83" s="8" t="s">
        <v>261</v>
      </c>
      <c r="D83" s="8" t="s">
        <v>91</v>
      </c>
      <c r="E83" s="8" t="s">
        <v>92</v>
      </c>
      <c r="F83" s="8" t="s">
        <v>115</v>
      </c>
      <c r="G83" s="9">
        <v>40537</v>
      </c>
      <c r="H83" s="9">
        <v>2473</v>
      </c>
      <c r="I83" s="10">
        <v>652.00369</v>
      </c>
      <c r="J83" s="11">
        <v>651.89</v>
      </c>
      <c r="K83" s="12">
        <f t="shared" si="7"/>
        <v>0.0610059945235217</v>
      </c>
      <c r="L83" s="13">
        <f t="shared" si="8"/>
        <v>16.0841623701803</v>
      </c>
      <c r="M83" s="13">
        <f t="shared" si="9"/>
        <v>0.263648883946624</v>
      </c>
      <c r="N83" s="11">
        <v>0</v>
      </c>
      <c r="O83" s="11">
        <v>0</v>
      </c>
      <c r="P83" s="11">
        <v>679.41</v>
      </c>
      <c r="Q83" s="13">
        <f t="shared" si="10"/>
        <v>1.04203397989971</v>
      </c>
      <c r="R83" s="11">
        <v>679.41</v>
      </c>
      <c r="S83" s="13">
        <f t="shared" si="11"/>
        <v>1.04203397989971</v>
      </c>
      <c r="T83" s="9">
        <v>12835</v>
      </c>
      <c r="U83" s="13">
        <f t="shared" si="12"/>
        <v>19.6854714119793</v>
      </c>
      <c r="V83" s="12">
        <f t="shared" si="13"/>
        <v>0.316624318523818</v>
      </c>
      <c r="W83" s="17">
        <f>COUNTIFS(源数据[日期],源数据[[#This Row],[日期]],源数据[账号id],源数据[[#This Row],[账号id]])</f>
        <v>1</v>
      </c>
      <c r="X83" s="15">
        <f>IFERROR(源数据[[#This Row],[点击量]]/源数据[[#This Row],[展示量]],"")</f>
        <v>0.0610059945235217</v>
      </c>
      <c r="Y83" s="16">
        <f>IFERROR(源数据[[#This Row],[播放量]]/源数据[[#This Row],[展示量]],"")</f>
        <v>0.316624318523818</v>
      </c>
      <c r="Z83" s="16">
        <f>IFERROR(源数据[[#This Row],[三连投放总消耗(毫分)]]/源数据[[#This Row],[播放量]],"")</f>
        <v>0.0507988850798598</v>
      </c>
      <c r="AA8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84" s="2" customFormat="1" spans="1:27">
      <c r="A84" s="7">
        <v>46204</v>
      </c>
      <c r="B84" s="8" t="s">
        <v>262</v>
      </c>
      <c r="C84" s="8" t="s">
        <v>263</v>
      </c>
      <c r="D84" s="8" t="s">
        <v>91</v>
      </c>
      <c r="E84" s="8" t="s">
        <v>92</v>
      </c>
      <c r="F84" s="8" t="s">
        <v>96</v>
      </c>
      <c r="G84" s="9">
        <v>87844</v>
      </c>
      <c r="H84" s="9">
        <v>847</v>
      </c>
      <c r="I84" s="10">
        <v>635.23895</v>
      </c>
      <c r="J84" s="11">
        <v>635.12</v>
      </c>
      <c r="K84" s="12">
        <f t="shared" si="7"/>
        <v>0.00964209280087428</v>
      </c>
      <c r="L84" s="13">
        <f t="shared" si="8"/>
        <v>7.23144380948044</v>
      </c>
      <c r="M84" s="13">
        <f t="shared" si="9"/>
        <v>0.749986953955136</v>
      </c>
      <c r="N84" s="11">
        <v>0</v>
      </c>
      <c r="O84" s="11">
        <v>0</v>
      </c>
      <c r="P84" s="11">
        <v>628.76</v>
      </c>
      <c r="Q84" s="13">
        <f t="shared" si="10"/>
        <v>0.989800767097169</v>
      </c>
      <c r="R84" s="11">
        <v>628.76</v>
      </c>
      <c r="S84" s="13">
        <f t="shared" si="11"/>
        <v>0.989800767097169</v>
      </c>
      <c r="T84" s="9">
        <v>13587</v>
      </c>
      <c r="U84" s="13">
        <f t="shared" si="12"/>
        <v>21.3888018044234</v>
      </c>
      <c r="V84" s="12">
        <f t="shared" si="13"/>
        <v>0.154671918400801</v>
      </c>
      <c r="W84" s="17">
        <f>COUNTIFS(源数据[日期],源数据[[#This Row],[日期]],源数据[账号id],源数据[[#This Row],[账号id]])</f>
        <v>1</v>
      </c>
      <c r="X84" s="15">
        <f>IFERROR(源数据[[#This Row],[点击量]]/源数据[[#This Row],[展示量]],"")</f>
        <v>0.00964209280087428</v>
      </c>
      <c r="Y84" s="16">
        <f>IFERROR(源数据[[#This Row],[播放量]]/源数据[[#This Row],[展示量]],"")</f>
        <v>0.154671918400801</v>
      </c>
      <c r="Z84" s="16">
        <f>IFERROR(源数据[[#This Row],[三连投放总消耗(毫分)]]/源数据[[#This Row],[播放量]],"")</f>
        <v>0.0467534371090013</v>
      </c>
      <c r="AA8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85" s="2" customFormat="1" spans="1:27">
      <c r="A85" s="7">
        <v>46204</v>
      </c>
      <c r="B85" s="8" t="s">
        <v>264</v>
      </c>
      <c r="C85" s="8" t="s">
        <v>265</v>
      </c>
      <c r="D85" s="8" t="s">
        <v>91</v>
      </c>
      <c r="E85" s="8" t="s">
        <v>92</v>
      </c>
      <c r="F85" s="8" t="s">
        <v>115</v>
      </c>
      <c r="G85" s="9">
        <v>47659</v>
      </c>
      <c r="H85" s="9">
        <v>3349</v>
      </c>
      <c r="I85" s="10">
        <v>632.40171</v>
      </c>
      <c r="J85" s="11">
        <v>632.29</v>
      </c>
      <c r="K85" s="12">
        <f t="shared" si="7"/>
        <v>0.0702700434335592</v>
      </c>
      <c r="L85" s="13">
        <f t="shared" si="8"/>
        <v>13.2693029648125</v>
      </c>
      <c r="M85" s="13">
        <f t="shared" si="9"/>
        <v>0.188832997909824</v>
      </c>
      <c r="N85" s="11">
        <v>0</v>
      </c>
      <c r="O85" s="11">
        <v>0</v>
      </c>
      <c r="P85" s="11">
        <v>692.64</v>
      </c>
      <c r="Q85" s="13">
        <f t="shared" si="10"/>
        <v>1.09525320543488</v>
      </c>
      <c r="R85" s="11">
        <v>692.64</v>
      </c>
      <c r="S85" s="13">
        <f t="shared" si="11"/>
        <v>1.09525320543488</v>
      </c>
      <c r="T85" s="9">
        <v>10509</v>
      </c>
      <c r="U85" s="13">
        <f t="shared" si="12"/>
        <v>16.6176021250796</v>
      </c>
      <c r="V85" s="12">
        <f t="shared" si="13"/>
        <v>0.220503997146394</v>
      </c>
      <c r="W85" s="17">
        <f>COUNTIFS(源数据[日期],源数据[[#This Row],[日期]],源数据[账号id],源数据[[#This Row],[账号id]])</f>
        <v>1</v>
      </c>
      <c r="X85" s="15">
        <f>IFERROR(源数据[[#This Row],[点击量]]/源数据[[#This Row],[展示量]],"")</f>
        <v>0.0702700434335592</v>
      </c>
      <c r="Y85" s="16">
        <f>IFERROR(源数据[[#This Row],[播放量]]/源数据[[#This Row],[展示量]],"")</f>
        <v>0.220503997146394</v>
      </c>
      <c r="Z85" s="16">
        <f>IFERROR(源数据[[#This Row],[三连投放总消耗(毫分)]]/源数据[[#This Row],[播放量]],"")</f>
        <v>0.060177153868113</v>
      </c>
      <c r="AA8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86" s="2" customFormat="1" spans="1:27">
      <c r="A86" s="7">
        <v>46204</v>
      </c>
      <c r="B86" s="8" t="s">
        <v>266</v>
      </c>
      <c r="C86" s="8" t="s">
        <v>267</v>
      </c>
      <c r="D86" s="8" t="s">
        <v>91</v>
      </c>
      <c r="E86" s="8" t="s">
        <v>92</v>
      </c>
      <c r="F86" s="8" t="s">
        <v>115</v>
      </c>
      <c r="G86" s="9">
        <v>50247</v>
      </c>
      <c r="H86" s="9">
        <v>3443</v>
      </c>
      <c r="I86" s="10">
        <v>630.41579</v>
      </c>
      <c r="J86" s="11">
        <v>630.3</v>
      </c>
      <c r="K86" s="12">
        <f t="shared" si="7"/>
        <v>0.0685215037713694</v>
      </c>
      <c r="L86" s="13">
        <f t="shared" si="8"/>
        <v>12.5463368957351</v>
      </c>
      <c r="M86" s="13">
        <f t="shared" si="9"/>
        <v>0.183100723206506</v>
      </c>
      <c r="N86" s="11">
        <v>0</v>
      </c>
      <c r="O86" s="11">
        <v>0</v>
      </c>
      <c r="P86" s="11">
        <v>662.02</v>
      </c>
      <c r="Q86" s="13">
        <f t="shared" si="10"/>
        <v>1.0501323261589</v>
      </c>
      <c r="R86" s="11">
        <v>662.02</v>
      </c>
      <c r="S86" s="13">
        <f t="shared" si="11"/>
        <v>1.0501323261589</v>
      </c>
      <c r="T86" s="9">
        <v>10530</v>
      </c>
      <c r="U86" s="13">
        <f t="shared" si="12"/>
        <v>16.7032618266113</v>
      </c>
      <c r="V86" s="12">
        <f t="shared" si="13"/>
        <v>0.209564750134336</v>
      </c>
      <c r="W86" s="17">
        <f>COUNTIFS(源数据[日期],源数据[[#This Row],[日期]],源数据[账号id],源数据[[#This Row],[账号id]])</f>
        <v>1</v>
      </c>
      <c r="X86" s="15">
        <f>IFERROR(源数据[[#This Row],[点击量]]/源数据[[#This Row],[展示量]],"")</f>
        <v>0.0685215037713694</v>
      </c>
      <c r="Y86" s="16">
        <f>IFERROR(源数据[[#This Row],[播放量]]/源数据[[#This Row],[展示量]],"")</f>
        <v>0.209564750134336</v>
      </c>
      <c r="Z86" s="16">
        <f>IFERROR(源数据[[#This Row],[三连投放总消耗(毫分)]]/源数据[[#This Row],[播放量]],"")</f>
        <v>0.0598685460588794</v>
      </c>
      <c r="AA8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87" s="2" customFormat="1" spans="1:27">
      <c r="A87" s="7">
        <v>46204</v>
      </c>
      <c r="B87" s="8" t="s">
        <v>268</v>
      </c>
      <c r="C87" s="8" t="s">
        <v>269</v>
      </c>
      <c r="D87" s="8" t="s">
        <v>91</v>
      </c>
      <c r="E87" s="8" t="s">
        <v>92</v>
      </c>
      <c r="F87" s="8" t="s">
        <v>96</v>
      </c>
      <c r="G87" s="9">
        <v>225639</v>
      </c>
      <c r="H87" s="9">
        <v>1004</v>
      </c>
      <c r="I87" s="10">
        <v>623.9305</v>
      </c>
      <c r="J87" s="11">
        <v>623.83</v>
      </c>
      <c r="K87" s="12">
        <f t="shared" si="7"/>
        <v>0.00444958539968711</v>
      </c>
      <c r="L87" s="13">
        <f t="shared" si="8"/>
        <v>2.76517135778833</v>
      </c>
      <c r="M87" s="13">
        <f t="shared" si="9"/>
        <v>0.621444721115538</v>
      </c>
      <c r="N87" s="11">
        <v>0</v>
      </c>
      <c r="O87" s="11">
        <v>0</v>
      </c>
      <c r="P87" s="11">
        <v>629.04</v>
      </c>
      <c r="Q87" s="13">
        <f t="shared" si="10"/>
        <v>1.00818921338194</v>
      </c>
      <c r="R87" s="11">
        <v>629.04</v>
      </c>
      <c r="S87" s="13">
        <f t="shared" si="11"/>
        <v>1.00818921338194</v>
      </c>
      <c r="T87" s="9">
        <v>13956</v>
      </c>
      <c r="U87" s="13">
        <f t="shared" si="12"/>
        <v>22.3678759092559</v>
      </c>
      <c r="V87" s="12">
        <f t="shared" si="13"/>
        <v>0.061851009798838</v>
      </c>
      <c r="W87" s="17">
        <f>COUNTIFS(源数据[日期],源数据[[#This Row],[日期]],源数据[账号id],源数据[[#This Row],[账号id]])</f>
        <v>1</v>
      </c>
      <c r="X87" s="15">
        <f>IFERROR(源数据[[#This Row],[点击量]]/源数据[[#This Row],[展示量]],"")</f>
        <v>0.00444958539968711</v>
      </c>
      <c r="Y87" s="16">
        <f>IFERROR(源数据[[#This Row],[播放量]]/源数据[[#This Row],[展示量]],"")</f>
        <v>0.061851009798838</v>
      </c>
      <c r="Z87" s="16">
        <f>IFERROR(源数据[[#This Row],[三连投放总消耗(毫分)]]/源数据[[#This Row],[播放量]],"")</f>
        <v>0.0447069719117226</v>
      </c>
      <c r="AA8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88" s="2" customFormat="1" spans="1:27">
      <c r="A88" s="7">
        <v>46204</v>
      </c>
      <c r="B88" s="8" t="s">
        <v>270</v>
      </c>
      <c r="C88" s="8" t="s">
        <v>271</v>
      </c>
      <c r="D88" s="8" t="s">
        <v>91</v>
      </c>
      <c r="E88" s="8" t="s">
        <v>92</v>
      </c>
      <c r="F88" s="8" t="s">
        <v>213</v>
      </c>
      <c r="G88" s="9">
        <v>78205</v>
      </c>
      <c r="H88" s="9">
        <v>862</v>
      </c>
      <c r="I88" s="10">
        <v>611.58007</v>
      </c>
      <c r="J88" s="11">
        <v>611.47</v>
      </c>
      <c r="K88" s="12">
        <f t="shared" si="7"/>
        <v>0.011022313151333</v>
      </c>
      <c r="L88" s="13">
        <f t="shared" si="8"/>
        <v>7.82021699379835</v>
      </c>
      <c r="M88" s="13">
        <f t="shared" si="9"/>
        <v>0.70948964037123</v>
      </c>
      <c r="N88" s="11">
        <v>0</v>
      </c>
      <c r="O88" s="11">
        <v>0</v>
      </c>
      <c r="P88" s="11">
        <v>679.1</v>
      </c>
      <c r="Q88" s="13">
        <f t="shared" si="10"/>
        <v>1.11040243675697</v>
      </c>
      <c r="R88" s="11">
        <v>679.1</v>
      </c>
      <c r="S88" s="13">
        <f t="shared" si="11"/>
        <v>1.11040243675697</v>
      </c>
      <c r="T88" s="9">
        <v>16024</v>
      </c>
      <c r="U88" s="13">
        <f t="shared" si="12"/>
        <v>26.2009846069706</v>
      </c>
      <c r="V88" s="12">
        <f t="shared" si="13"/>
        <v>0.20489738507768</v>
      </c>
      <c r="W88" s="17">
        <f>COUNTIFS(源数据[日期],源数据[[#This Row],[日期]],源数据[账号id],源数据[[#This Row],[账号id]])</f>
        <v>1</v>
      </c>
      <c r="X88" s="15">
        <f>IFERROR(源数据[[#This Row],[点击量]]/源数据[[#This Row],[展示量]],"")</f>
        <v>0.011022313151333</v>
      </c>
      <c r="Y88" s="16">
        <f>IFERROR(源数据[[#This Row],[播放量]]/源数据[[#This Row],[展示量]],"")</f>
        <v>0.20489738507768</v>
      </c>
      <c r="Z88" s="16">
        <f>IFERROR(源数据[[#This Row],[三连投放总消耗(毫分)]]/源数据[[#This Row],[播放量]],"")</f>
        <v>0.0381665046180729</v>
      </c>
      <c r="AA8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89" s="2" customFormat="1" spans="1:27">
      <c r="A89" s="7">
        <v>46204</v>
      </c>
      <c r="B89" s="8" t="s">
        <v>272</v>
      </c>
      <c r="C89" s="8" t="s">
        <v>273</v>
      </c>
      <c r="D89" s="8" t="s">
        <v>91</v>
      </c>
      <c r="E89" s="8" t="s">
        <v>92</v>
      </c>
      <c r="F89" s="8" t="s">
        <v>115</v>
      </c>
      <c r="G89" s="9">
        <v>41956</v>
      </c>
      <c r="H89" s="9">
        <v>1396</v>
      </c>
      <c r="I89" s="10">
        <v>609.42026</v>
      </c>
      <c r="J89" s="11">
        <v>609.32</v>
      </c>
      <c r="K89" s="12">
        <f t="shared" si="7"/>
        <v>0.0332729526170274</v>
      </c>
      <c r="L89" s="13">
        <f t="shared" si="8"/>
        <v>14.5252230908571</v>
      </c>
      <c r="M89" s="13">
        <f t="shared" si="9"/>
        <v>0.436547464183381</v>
      </c>
      <c r="N89" s="11">
        <v>0</v>
      </c>
      <c r="O89" s="11">
        <v>0</v>
      </c>
      <c r="P89" s="11">
        <v>635.23</v>
      </c>
      <c r="Q89" s="13">
        <f t="shared" si="10"/>
        <v>1.04235129957773</v>
      </c>
      <c r="R89" s="11">
        <v>635.23</v>
      </c>
      <c r="S89" s="13">
        <f t="shared" si="11"/>
        <v>1.04235129957773</v>
      </c>
      <c r="T89" s="9">
        <v>8686</v>
      </c>
      <c r="U89" s="13">
        <f t="shared" si="12"/>
        <v>14.2528901155994</v>
      </c>
      <c r="V89" s="12">
        <f t="shared" si="13"/>
        <v>0.207026408618553</v>
      </c>
      <c r="W89" s="17">
        <f>COUNTIFS(源数据[日期],源数据[[#This Row],[日期]],源数据[账号id],源数据[[#This Row],[账号id]])</f>
        <v>1</v>
      </c>
      <c r="X89" s="15">
        <f>IFERROR(源数据[[#This Row],[点击量]]/源数据[[#This Row],[展示量]],"")</f>
        <v>0.0332729526170274</v>
      </c>
      <c r="Y89" s="16">
        <f>IFERROR(源数据[[#This Row],[播放量]]/源数据[[#This Row],[展示量]],"")</f>
        <v>0.207026408618553</v>
      </c>
      <c r="Z89" s="16">
        <f>IFERROR(源数据[[#This Row],[三连投放总消耗(毫分)]]/源数据[[#This Row],[播放量]],"")</f>
        <v>0.0701612088418144</v>
      </c>
      <c r="AA8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90" s="2" customFormat="1" spans="1:27">
      <c r="A90" s="7">
        <v>46204</v>
      </c>
      <c r="B90" s="8" t="s">
        <v>274</v>
      </c>
      <c r="C90" s="8" t="s">
        <v>275</v>
      </c>
      <c r="D90" s="8" t="s">
        <v>91</v>
      </c>
      <c r="E90" s="8" t="s">
        <v>92</v>
      </c>
      <c r="F90" s="8" t="s">
        <v>93</v>
      </c>
      <c r="G90" s="9">
        <v>52059</v>
      </c>
      <c r="H90" s="9">
        <v>1996</v>
      </c>
      <c r="I90" s="10">
        <v>607.39919</v>
      </c>
      <c r="J90" s="11">
        <v>607.33</v>
      </c>
      <c r="K90" s="12">
        <f t="shared" si="7"/>
        <v>0.0383411129679786</v>
      </c>
      <c r="L90" s="13">
        <f t="shared" si="8"/>
        <v>11.6675155112469</v>
      </c>
      <c r="M90" s="13">
        <f t="shared" si="9"/>
        <v>0.304308211422846</v>
      </c>
      <c r="N90" s="11">
        <v>0</v>
      </c>
      <c r="O90" s="11">
        <v>0</v>
      </c>
      <c r="P90" s="11">
        <v>666.66</v>
      </c>
      <c r="Q90" s="13">
        <f t="shared" si="10"/>
        <v>1.09756484858006</v>
      </c>
      <c r="R90" s="11">
        <v>666.66</v>
      </c>
      <c r="S90" s="13">
        <f t="shared" si="11"/>
        <v>1.09756484858006</v>
      </c>
      <c r="T90" s="9">
        <v>11033</v>
      </c>
      <c r="U90" s="13">
        <f t="shared" si="12"/>
        <v>18.1643311048867</v>
      </c>
      <c r="V90" s="12">
        <f t="shared" si="13"/>
        <v>0.21193261491769</v>
      </c>
      <c r="W90" s="17">
        <f>COUNTIFS(源数据[日期],源数据[[#This Row],[日期]],源数据[账号id],源数据[[#This Row],[账号id]])</f>
        <v>1</v>
      </c>
      <c r="X90" s="15">
        <f>IFERROR(源数据[[#This Row],[点击量]]/源数据[[#This Row],[展示量]],"")</f>
        <v>0.0383411129679786</v>
      </c>
      <c r="Y90" s="16">
        <f>IFERROR(源数据[[#This Row],[播放量]]/源数据[[#This Row],[展示量]],"")</f>
        <v>0.21193261491769</v>
      </c>
      <c r="Z90" s="16">
        <f>IFERROR(源数据[[#This Row],[三连投放总消耗(毫分)]]/源数据[[#This Row],[播放量]],"")</f>
        <v>0.0550529493338167</v>
      </c>
      <c r="AA9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91" s="2" customFormat="1" spans="1:27">
      <c r="A91" s="7">
        <v>46204</v>
      </c>
      <c r="B91" s="8" t="s">
        <v>276</v>
      </c>
      <c r="C91" s="8" t="s">
        <v>277</v>
      </c>
      <c r="D91" s="8" t="s">
        <v>91</v>
      </c>
      <c r="E91" s="8" t="s">
        <v>92</v>
      </c>
      <c r="F91" s="8" t="s">
        <v>96</v>
      </c>
      <c r="G91" s="9">
        <v>81110</v>
      </c>
      <c r="H91" s="9">
        <v>3976</v>
      </c>
      <c r="I91" s="10">
        <v>596.38429</v>
      </c>
      <c r="J91" s="11">
        <v>596.25</v>
      </c>
      <c r="K91" s="12">
        <f t="shared" si="7"/>
        <v>0.0490198495869806</v>
      </c>
      <c r="L91" s="13">
        <f t="shared" si="8"/>
        <v>7.35278375046233</v>
      </c>
      <c r="M91" s="13">
        <f t="shared" si="9"/>
        <v>0.149996048792757</v>
      </c>
      <c r="N91" s="11">
        <v>0</v>
      </c>
      <c r="O91" s="11">
        <v>0</v>
      </c>
      <c r="P91" s="11">
        <v>624.72</v>
      </c>
      <c r="Q91" s="13">
        <f t="shared" si="10"/>
        <v>1.04751250238332</v>
      </c>
      <c r="R91" s="11">
        <v>624.72</v>
      </c>
      <c r="S91" s="13">
        <f t="shared" si="11"/>
        <v>1.04751250238332</v>
      </c>
      <c r="T91" s="9">
        <v>8396</v>
      </c>
      <c r="U91" s="13">
        <f t="shared" si="12"/>
        <v>14.0781709726123</v>
      </c>
      <c r="V91" s="12">
        <f t="shared" si="13"/>
        <v>0.103513746763654</v>
      </c>
      <c r="W91" s="17">
        <f>COUNTIFS(源数据[日期],源数据[[#This Row],[日期]],源数据[账号id],源数据[[#This Row],[账号id]])</f>
        <v>1</v>
      </c>
      <c r="X91" s="15">
        <f>IFERROR(源数据[[#This Row],[点击量]]/源数据[[#This Row],[展示量]],"")</f>
        <v>0.0490198495869806</v>
      </c>
      <c r="Y91" s="16">
        <f>IFERROR(源数据[[#This Row],[播放量]]/源数据[[#This Row],[展示量]],"")</f>
        <v>0.103513746763654</v>
      </c>
      <c r="Z91" s="16">
        <f>IFERROR(源数据[[#This Row],[三连投放总消耗(毫分)]]/源数据[[#This Row],[播放量]],"")</f>
        <v>0.0710319545021439</v>
      </c>
      <c r="AA9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92" s="2" customFormat="1" spans="1:27">
      <c r="A92" s="7">
        <v>46204</v>
      </c>
      <c r="B92" s="8" t="s">
        <v>278</v>
      </c>
      <c r="C92" s="8" t="s">
        <v>279</v>
      </c>
      <c r="D92" s="8" t="s">
        <v>91</v>
      </c>
      <c r="E92" s="8" t="s">
        <v>92</v>
      </c>
      <c r="F92" s="8" t="s">
        <v>115</v>
      </c>
      <c r="G92" s="9">
        <v>65578</v>
      </c>
      <c r="H92" s="9">
        <v>2595</v>
      </c>
      <c r="I92" s="10">
        <v>593.14611</v>
      </c>
      <c r="J92" s="11">
        <v>593.06</v>
      </c>
      <c r="K92" s="12">
        <f t="shared" si="7"/>
        <v>0.0395711976577511</v>
      </c>
      <c r="L92" s="13">
        <f t="shared" si="8"/>
        <v>9.04489478178658</v>
      </c>
      <c r="M92" s="13">
        <f t="shared" si="9"/>
        <v>0.228572682080925</v>
      </c>
      <c r="N92" s="11">
        <v>0</v>
      </c>
      <c r="O92" s="11">
        <v>0</v>
      </c>
      <c r="P92" s="11">
        <v>594.54</v>
      </c>
      <c r="Q92" s="13">
        <f t="shared" si="10"/>
        <v>1.00234999433782</v>
      </c>
      <c r="R92" s="11">
        <v>594.54</v>
      </c>
      <c r="S92" s="13">
        <f t="shared" si="11"/>
        <v>1.00234999433782</v>
      </c>
      <c r="T92" s="9">
        <v>11595</v>
      </c>
      <c r="U92" s="13">
        <f t="shared" si="12"/>
        <v>19.5483031996956</v>
      </c>
      <c r="V92" s="12">
        <f t="shared" si="13"/>
        <v>0.176812345603709</v>
      </c>
      <c r="W92" s="17">
        <f>COUNTIFS(源数据[日期],源数据[[#This Row],[日期]],源数据[账号id],源数据[[#This Row],[账号id]])</f>
        <v>1</v>
      </c>
      <c r="X92" s="15">
        <f>IFERROR(源数据[[#This Row],[点击量]]/源数据[[#This Row],[展示量]],"")</f>
        <v>0.0395711976577511</v>
      </c>
      <c r="Y92" s="16">
        <f>IFERROR(源数据[[#This Row],[播放量]]/源数据[[#This Row],[展示量]],"")</f>
        <v>0.176812345603709</v>
      </c>
      <c r="Z92" s="16">
        <f>IFERROR(源数据[[#This Row],[三连投放总消耗(毫分)]]/源数据[[#This Row],[播放量]],"")</f>
        <v>0.0511553350582147</v>
      </c>
      <c r="AA9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93" s="2" customFormat="1" spans="1:27">
      <c r="A93" s="7">
        <v>46204</v>
      </c>
      <c r="B93" s="8" t="s">
        <v>280</v>
      </c>
      <c r="C93" s="8" t="s">
        <v>281</v>
      </c>
      <c r="D93" s="8" t="s">
        <v>91</v>
      </c>
      <c r="E93" s="8" t="s">
        <v>92</v>
      </c>
      <c r="F93" s="8" t="s">
        <v>96</v>
      </c>
      <c r="G93" s="9">
        <v>89621</v>
      </c>
      <c r="H93" s="9">
        <v>3569</v>
      </c>
      <c r="I93" s="10">
        <v>589.41093</v>
      </c>
      <c r="J93" s="11">
        <v>589.3</v>
      </c>
      <c r="K93" s="12">
        <f t="shared" si="7"/>
        <v>0.0398232557101572</v>
      </c>
      <c r="L93" s="13">
        <f t="shared" si="8"/>
        <v>6.57670557123888</v>
      </c>
      <c r="M93" s="13">
        <f t="shared" si="9"/>
        <v>0.165147360605212</v>
      </c>
      <c r="N93" s="11">
        <v>0</v>
      </c>
      <c r="O93" s="11">
        <v>0</v>
      </c>
      <c r="P93" s="11">
        <v>650.87</v>
      </c>
      <c r="Q93" s="13">
        <f t="shared" si="10"/>
        <v>1.10427202291617</v>
      </c>
      <c r="R93" s="11">
        <v>650.87</v>
      </c>
      <c r="S93" s="13">
        <f t="shared" si="11"/>
        <v>1.10427202291617</v>
      </c>
      <c r="T93" s="9">
        <v>12628</v>
      </c>
      <c r="U93" s="13">
        <f t="shared" si="12"/>
        <v>21.4247808400838</v>
      </c>
      <c r="V93" s="12">
        <f t="shared" si="13"/>
        <v>0.140904475513552</v>
      </c>
      <c r="W93" s="17">
        <f>COUNTIFS(源数据[日期],源数据[[#This Row],[日期]],源数据[账号id],源数据[[#This Row],[账号id]])</f>
        <v>1</v>
      </c>
      <c r="X93" s="15">
        <f>IFERROR(源数据[[#This Row],[点击量]]/源数据[[#This Row],[展示量]],"")</f>
        <v>0.0398232557101572</v>
      </c>
      <c r="Y93" s="16">
        <f>IFERROR(源数据[[#This Row],[播放量]]/源数据[[#This Row],[展示量]],"")</f>
        <v>0.140904475513552</v>
      </c>
      <c r="Z93" s="16">
        <f>IFERROR(源数据[[#This Row],[三连投放总消耗(毫分)]]/源数据[[#This Row],[播放量]],"")</f>
        <v>0.0466749231865695</v>
      </c>
      <c r="AA9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94" s="2" customFormat="1" spans="1:27">
      <c r="A94" s="7">
        <v>46204</v>
      </c>
      <c r="B94" s="8" t="s">
        <v>282</v>
      </c>
      <c r="C94" s="8" t="s">
        <v>283</v>
      </c>
      <c r="D94" s="8" t="s">
        <v>91</v>
      </c>
      <c r="E94" s="8" t="s">
        <v>92</v>
      </c>
      <c r="F94" s="8" t="s">
        <v>115</v>
      </c>
      <c r="G94" s="9">
        <v>51550</v>
      </c>
      <c r="H94" s="9">
        <v>2124</v>
      </c>
      <c r="I94" s="10">
        <v>586.02673</v>
      </c>
      <c r="J94" s="11">
        <v>585.93</v>
      </c>
      <c r="K94" s="12">
        <f t="shared" si="7"/>
        <v>0.0412027158098933</v>
      </c>
      <c r="L94" s="13">
        <f t="shared" si="8"/>
        <v>11.3681227934045</v>
      </c>
      <c r="M94" s="13">
        <f t="shared" si="9"/>
        <v>0.275907123352166</v>
      </c>
      <c r="N94" s="11">
        <v>0</v>
      </c>
      <c r="O94" s="11">
        <v>0</v>
      </c>
      <c r="P94" s="11">
        <v>623.88</v>
      </c>
      <c r="Q94" s="13">
        <f t="shared" si="10"/>
        <v>1.06459307752054</v>
      </c>
      <c r="R94" s="11">
        <v>623.88</v>
      </c>
      <c r="S94" s="13">
        <f t="shared" si="11"/>
        <v>1.06459307752054</v>
      </c>
      <c r="T94" s="9">
        <v>16516</v>
      </c>
      <c r="U94" s="13">
        <f t="shared" si="12"/>
        <v>28.1830147918338</v>
      </c>
      <c r="V94" s="12">
        <f t="shared" si="13"/>
        <v>0.320387972841901</v>
      </c>
      <c r="W94" s="17">
        <f>COUNTIFS(源数据[日期],源数据[[#This Row],[日期]],源数据[账号id],源数据[[#This Row],[账号id]])</f>
        <v>1</v>
      </c>
      <c r="X94" s="15">
        <f>IFERROR(源数据[[#This Row],[点击量]]/源数据[[#This Row],[展示量]],"")</f>
        <v>0.0412027158098933</v>
      </c>
      <c r="Y94" s="16">
        <f>IFERROR(源数据[[#This Row],[播放量]]/源数据[[#This Row],[展示量]],"")</f>
        <v>0.320387972841901</v>
      </c>
      <c r="Z94" s="16">
        <f>IFERROR(源数据[[#This Row],[三连投放总消耗(毫分)]]/源数据[[#This Row],[播放量]],"")</f>
        <v>0.0354823643739404</v>
      </c>
      <c r="AA9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95" s="2" customFormat="1" spans="1:27">
      <c r="A95" s="7">
        <v>46204</v>
      </c>
      <c r="B95" s="8" t="s">
        <v>284</v>
      </c>
      <c r="C95" s="8" t="s">
        <v>285</v>
      </c>
      <c r="D95" s="8" t="s">
        <v>91</v>
      </c>
      <c r="E95" s="8" t="s">
        <v>92</v>
      </c>
      <c r="F95" s="8" t="s">
        <v>96</v>
      </c>
      <c r="G95" s="9">
        <v>29878</v>
      </c>
      <c r="H95" s="9">
        <v>995</v>
      </c>
      <c r="I95" s="10">
        <v>566.02875</v>
      </c>
      <c r="J95" s="11">
        <v>565.97</v>
      </c>
      <c r="K95" s="12">
        <f t="shared" si="7"/>
        <v>0.0333020951870942</v>
      </c>
      <c r="L95" s="13">
        <f t="shared" si="8"/>
        <v>18.9446666443537</v>
      </c>
      <c r="M95" s="13">
        <f t="shared" si="9"/>
        <v>0.568873115577889</v>
      </c>
      <c r="N95" s="11">
        <v>0</v>
      </c>
      <c r="O95" s="11">
        <v>0</v>
      </c>
      <c r="P95" s="11">
        <v>611.32</v>
      </c>
      <c r="Q95" s="13">
        <f t="shared" si="10"/>
        <v>1.08001581191768</v>
      </c>
      <c r="R95" s="11">
        <v>611.32</v>
      </c>
      <c r="S95" s="13">
        <f t="shared" si="11"/>
        <v>1.08001581191768</v>
      </c>
      <c r="T95" s="9">
        <v>9330</v>
      </c>
      <c r="U95" s="13">
        <f t="shared" si="12"/>
        <v>16.483261671779</v>
      </c>
      <c r="V95" s="12">
        <f t="shared" si="13"/>
        <v>0.312269897583506</v>
      </c>
      <c r="W95" s="17">
        <f>COUNTIFS(源数据[日期],源数据[[#This Row],[日期]],源数据[账号id],源数据[[#This Row],[账号id]])</f>
        <v>1</v>
      </c>
      <c r="X95" s="15">
        <f>IFERROR(源数据[[#This Row],[点击量]]/源数据[[#This Row],[展示量]],"")</f>
        <v>0.0333020951870942</v>
      </c>
      <c r="Y95" s="16">
        <f>IFERROR(源数据[[#This Row],[播放量]]/源数据[[#This Row],[展示量]],"")</f>
        <v>0.312269897583506</v>
      </c>
      <c r="Z95" s="16">
        <f>IFERROR(源数据[[#This Row],[三连投放总消耗(毫分)]]/源数据[[#This Row],[播放量]],"")</f>
        <v>0.0606676045016077</v>
      </c>
      <c r="AA9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96" s="2" customFormat="1" spans="1:27">
      <c r="A96" s="7">
        <v>46204</v>
      </c>
      <c r="B96" s="8" t="s">
        <v>286</v>
      </c>
      <c r="C96" s="8" t="s">
        <v>287</v>
      </c>
      <c r="D96" s="8" t="s">
        <v>91</v>
      </c>
      <c r="E96" s="8" t="s">
        <v>92</v>
      </c>
      <c r="F96" s="8" t="s">
        <v>93</v>
      </c>
      <c r="G96" s="9">
        <v>34893</v>
      </c>
      <c r="H96" s="9">
        <v>1775</v>
      </c>
      <c r="I96" s="10">
        <v>565.70202</v>
      </c>
      <c r="J96" s="11">
        <v>565.65</v>
      </c>
      <c r="K96" s="12">
        <f t="shared" si="7"/>
        <v>0.0508698019660104</v>
      </c>
      <c r="L96" s="13">
        <f t="shared" si="8"/>
        <v>16.2124787206603</v>
      </c>
      <c r="M96" s="13">
        <f t="shared" si="9"/>
        <v>0.318705363380282</v>
      </c>
      <c r="N96" s="11">
        <v>0</v>
      </c>
      <c r="O96" s="11">
        <v>0</v>
      </c>
      <c r="P96" s="11">
        <v>549.74</v>
      </c>
      <c r="Q96" s="13">
        <f t="shared" si="10"/>
        <v>0.971783696300042</v>
      </c>
      <c r="R96" s="11">
        <v>549.74</v>
      </c>
      <c r="S96" s="13">
        <f t="shared" si="11"/>
        <v>0.971783696300042</v>
      </c>
      <c r="T96" s="9">
        <v>9920</v>
      </c>
      <c r="U96" s="13">
        <f t="shared" si="12"/>
        <v>17.5357337419442</v>
      </c>
      <c r="V96" s="12">
        <f t="shared" si="13"/>
        <v>0.284297710142435</v>
      </c>
      <c r="W96" s="17">
        <f>COUNTIFS(源数据[日期],源数据[[#This Row],[日期]],源数据[账号id],源数据[[#This Row],[账号id]])</f>
        <v>1</v>
      </c>
      <c r="X96" s="15">
        <f>IFERROR(源数据[[#This Row],[点击量]]/源数据[[#This Row],[展示量]],"")</f>
        <v>0.0508698019660104</v>
      </c>
      <c r="Y96" s="16">
        <f>IFERROR(源数据[[#This Row],[播放量]]/源数据[[#This Row],[展示量]],"")</f>
        <v>0.284297710142435</v>
      </c>
      <c r="Z96" s="16">
        <f>IFERROR(源数据[[#This Row],[三连投放总消耗(毫分)]]/源数据[[#This Row],[播放量]],"")</f>
        <v>0.0570264133064516</v>
      </c>
      <c r="AA9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97" s="2" customFormat="1" spans="1:27">
      <c r="A97" s="7">
        <v>46204</v>
      </c>
      <c r="B97" s="8" t="s">
        <v>288</v>
      </c>
      <c r="C97" s="8" t="s">
        <v>289</v>
      </c>
      <c r="D97" s="8" t="s">
        <v>91</v>
      </c>
      <c r="E97" s="8" t="s">
        <v>92</v>
      </c>
      <c r="F97" s="8" t="s">
        <v>93</v>
      </c>
      <c r="G97" s="9">
        <v>29225</v>
      </c>
      <c r="H97" s="9">
        <v>1506</v>
      </c>
      <c r="I97" s="10">
        <v>559.21043</v>
      </c>
      <c r="J97" s="11">
        <v>559.13</v>
      </c>
      <c r="K97" s="12">
        <f t="shared" si="7"/>
        <v>0.0515312232677502</v>
      </c>
      <c r="L97" s="13">
        <f t="shared" si="8"/>
        <v>19.1346597091531</v>
      </c>
      <c r="M97" s="13">
        <f t="shared" si="9"/>
        <v>0.371321666666667</v>
      </c>
      <c r="N97" s="11">
        <v>0</v>
      </c>
      <c r="O97" s="11">
        <v>0</v>
      </c>
      <c r="P97" s="11">
        <v>579.97</v>
      </c>
      <c r="Q97" s="13">
        <f t="shared" si="10"/>
        <v>1.0371230021586</v>
      </c>
      <c r="R97" s="11">
        <v>579.97</v>
      </c>
      <c r="S97" s="13">
        <f t="shared" si="11"/>
        <v>1.0371230021586</v>
      </c>
      <c r="T97" s="9">
        <v>7818</v>
      </c>
      <c r="U97" s="13">
        <f t="shared" si="12"/>
        <v>13.9804259373345</v>
      </c>
      <c r="V97" s="12">
        <f t="shared" si="13"/>
        <v>0.267510692899914</v>
      </c>
      <c r="W97" s="17">
        <f>COUNTIFS(源数据[日期],源数据[[#This Row],[日期]],源数据[账号id],源数据[[#This Row],[账号id]])</f>
        <v>1</v>
      </c>
      <c r="X97" s="15">
        <f>IFERROR(源数据[[#This Row],[点击量]]/源数据[[#This Row],[展示量]],"")</f>
        <v>0.0515312232677502</v>
      </c>
      <c r="Y97" s="16">
        <f>IFERROR(源数据[[#This Row],[播放量]]/源数据[[#This Row],[展示量]],"")</f>
        <v>0.267510692899914</v>
      </c>
      <c r="Z97" s="16">
        <f>IFERROR(源数据[[#This Row],[三连投放总消耗(毫分)]]/源数据[[#This Row],[播放量]],"")</f>
        <v>0.07152857892044</v>
      </c>
      <c r="AA9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98" s="2" customFormat="1" spans="1:27">
      <c r="A98" s="7">
        <v>46204</v>
      </c>
      <c r="B98" s="8" t="s">
        <v>290</v>
      </c>
      <c r="C98" s="8" t="s">
        <v>291</v>
      </c>
      <c r="D98" s="8" t="s">
        <v>91</v>
      </c>
      <c r="E98" s="8" t="s">
        <v>92</v>
      </c>
      <c r="F98" s="8" t="s">
        <v>115</v>
      </c>
      <c r="G98" s="9">
        <v>45556</v>
      </c>
      <c r="H98" s="9">
        <v>1242</v>
      </c>
      <c r="I98" s="10">
        <v>550.72399</v>
      </c>
      <c r="J98" s="11">
        <v>550.66</v>
      </c>
      <c r="K98" s="12">
        <f t="shared" si="7"/>
        <v>0.0272631486522083</v>
      </c>
      <c r="L98" s="13">
        <f t="shared" si="8"/>
        <v>12.0889452541926</v>
      </c>
      <c r="M98" s="13">
        <f t="shared" si="9"/>
        <v>0.443417061191626</v>
      </c>
      <c r="N98" s="11">
        <v>0</v>
      </c>
      <c r="O98" s="11">
        <v>0</v>
      </c>
      <c r="P98" s="11">
        <v>560.5</v>
      </c>
      <c r="Q98" s="13">
        <f t="shared" si="10"/>
        <v>1.01775119692897</v>
      </c>
      <c r="R98" s="11">
        <v>560.5</v>
      </c>
      <c r="S98" s="13">
        <f t="shared" si="11"/>
        <v>1.01775119692897</v>
      </c>
      <c r="T98" s="9">
        <v>10594</v>
      </c>
      <c r="U98" s="13">
        <f t="shared" si="12"/>
        <v>19.2364963073426</v>
      </c>
      <c r="V98" s="12">
        <f t="shared" si="13"/>
        <v>0.232548950741944</v>
      </c>
      <c r="W98" s="17">
        <f>COUNTIFS(源数据[日期],源数据[[#This Row],[日期]],源数据[账号id],源数据[[#This Row],[账号id]])</f>
        <v>1</v>
      </c>
      <c r="X98" s="15">
        <f>IFERROR(源数据[[#This Row],[点击量]]/源数据[[#This Row],[展示量]],"")</f>
        <v>0.0272631486522083</v>
      </c>
      <c r="Y98" s="16">
        <f>IFERROR(源数据[[#This Row],[播放量]]/源数据[[#This Row],[展示量]],"")</f>
        <v>0.232548950741944</v>
      </c>
      <c r="Z98" s="16">
        <f>IFERROR(源数据[[#This Row],[三连投放总消耗(毫分)]]/源数据[[#This Row],[播放量]],"")</f>
        <v>0.0519845185954314</v>
      </c>
      <c r="AA9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99" s="2" customFormat="1" spans="1:27">
      <c r="A99" s="7">
        <v>46204</v>
      </c>
      <c r="B99" s="8" t="s">
        <v>292</v>
      </c>
      <c r="C99" s="8" t="s">
        <v>293</v>
      </c>
      <c r="D99" s="8" t="s">
        <v>91</v>
      </c>
      <c r="E99" s="8" t="s">
        <v>92</v>
      </c>
      <c r="F99" s="8" t="s">
        <v>115</v>
      </c>
      <c r="G99" s="9">
        <v>42060</v>
      </c>
      <c r="H99" s="9">
        <v>1452</v>
      </c>
      <c r="I99" s="10">
        <v>548.0431</v>
      </c>
      <c r="J99" s="11">
        <v>547.98</v>
      </c>
      <c r="K99" s="12">
        <f t="shared" si="7"/>
        <v>0.0345221112696148</v>
      </c>
      <c r="L99" s="13">
        <f t="shared" si="8"/>
        <v>13.0300309082263</v>
      </c>
      <c r="M99" s="13">
        <f t="shared" si="9"/>
        <v>0.377440151515151</v>
      </c>
      <c r="N99" s="11">
        <v>0</v>
      </c>
      <c r="O99" s="11">
        <v>0</v>
      </c>
      <c r="P99" s="11">
        <v>542.2</v>
      </c>
      <c r="Q99" s="13">
        <f t="shared" si="10"/>
        <v>0.989338247302083</v>
      </c>
      <c r="R99" s="11">
        <v>542.2</v>
      </c>
      <c r="S99" s="13">
        <f t="shared" si="11"/>
        <v>0.989338247302083</v>
      </c>
      <c r="T99" s="9">
        <v>11398</v>
      </c>
      <c r="U99" s="13">
        <f t="shared" si="12"/>
        <v>20.7976343466417</v>
      </c>
      <c r="V99" s="12">
        <f t="shared" si="13"/>
        <v>0.270993818354731</v>
      </c>
      <c r="W99" s="17">
        <f>COUNTIFS(源数据[日期],源数据[[#This Row],[日期]],源数据[账号id],源数据[[#This Row],[账号id]])</f>
        <v>1</v>
      </c>
      <c r="X99" s="15">
        <f>IFERROR(源数据[[#This Row],[点击量]]/源数据[[#This Row],[展示量]],"")</f>
        <v>0.0345221112696148</v>
      </c>
      <c r="Y99" s="16">
        <f>IFERROR(源数据[[#This Row],[播放量]]/源数据[[#This Row],[展示量]],"")</f>
        <v>0.270993818354731</v>
      </c>
      <c r="Z99" s="16">
        <f>IFERROR(源数据[[#This Row],[三连投放总消耗(毫分)]]/源数据[[#This Row],[播放量]],"")</f>
        <v>0.0480823916476575</v>
      </c>
      <c r="AA9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00" s="2" customFormat="1" spans="1:27">
      <c r="A100" s="7">
        <v>46204</v>
      </c>
      <c r="B100" s="8" t="s">
        <v>294</v>
      </c>
      <c r="C100" s="8" t="s">
        <v>295</v>
      </c>
      <c r="D100" s="8" t="s">
        <v>91</v>
      </c>
      <c r="E100" s="8" t="s">
        <v>92</v>
      </c>
      <c r="F100" s="8" t="s">
        <v>152</v>
      </c>
      <c r="G100" s="9">
        <v>36144</v>
      </c>
      <c r="H100" s="9">
        <v>5963</v>
      </c>
      <c r="I100" s="10">
        <v>537.14377</v>
      </c>
      <c r="J100" s="11">
        <v>537.12</v>
      </c>
      <c r="K100" s="12">
        <f t="shared" si="7"/>
        <v>0.164978972996901</v>
      </c>
      <c r="L100" s="13">
        <f t="shared" si="8"/>
        <v>14.8612154161133</v>
      </c>
      <c r="M100" s="13">
        <f t="shared" si="9"/>
        <v>0.0900794516183129</v>
      </c>
      <c r="N100" s="11">
        <v>146.63</v>
      </c>
      <c r="O100" s="11">
        <v>146.63</v>
      </c>
      <c r="P100" s="11">
        <v>366.76</v>
      </c>
      <c r="Q100" s="13">
        <f t="shared" si="10"/>
        <v>0.682796711949205</v>
      </c>
      <c r="R100" s="11">
        <v>513.4</v>
      </c>
      <c r="S100" s="13">
        <f t="shared" si="11"/>
        <v>0.955796247995206</v>
      </c>
      <c r="T100" s="9">
        <v>6597</v>
      </c>
      <c r="U100" s="13">
        <f t="shared" si="12"/>
        <v>12.2816280639353</v>
      </c>
      <c r="V100" s="12">
        <f t="shared" si="13"/>
        <v>0.182519920318725</v>
      </c>
      <c r="W100" s="17">
        <f>COUNTIFS(源数据[日期],源数据[[#This Row],[日期]],源数据[账号id],源数据[[#This Row],[账号id]])</f>
        <v>1</v>
      </c>
      <c r="X100" s="15">
        <f>IFERROR(源数据[[#This Row],[点击量]]/源数据[[#This Row],[展示量]],"")</f>
        <v>0.164978972996901</v>
      </c>
      <c r="Y100" s="16">
        <f>IFERROR(源数据[[#This Row],[播放量]]/源数据[[#This Row],[展示量]],"")</f>
        <v>0.182519920318725</v>
      </c>
      <c r="Z100" s="16">
        <f>IFERROR(源数据[[#This Row],[三连投放总消耗(毫分)]]/源数据[[#This Row],[播放量]],"")</f>
        <v>0.0814224298923753</v>
      </c>
      <c r="AA10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01" s="2" customFormat="1" spans="1:27">
      <c r="A101" s="7">
        <v>46204</v>
      </c>
      <c r="B101" s="8" t="s">
        <v>296</v>
      </c>
      <c r="C101" s="8" t="s">
        <v>297</v>
      </c>
      <c r="D101" s="8" t="s">
        <v>91</v>
      </c>
      <c r="E101" s="8" t="s">
        <v>92</v>
      </c>
      <c r="F101" s="8" t="s">
        <v>96</v>
      </c>
      <c r="G101" s="9">
        <v>63048</v>
      </c>
      <c r="H101" s="9">
        <v>2074</v>
      </c>
      <c r="I101" s="10">
        <v>532.19734</v>
      </c>
      <c r="J101" s="11">
        <v>532.08</v>
      </c>
      <c r="K101" s="12">
        <f t="shared" si="7"/>
        <v>0.032895571627966</v>
      </c>
      <c r="L101" s="13">
        <f t="shared" si="8"/>
        <v>8.44114547646238</v>
      </c>
      <c r="M101" s="13">
        <f t="shared" si="9"/>
        <v>0.25660431051109</v>
      </c>
      <c r="N101" s="11">
        <v>0</v>
      </c>
      <c r="O101" s="11">
        <v>0</v>
      </c>
      <c r="P101" s="11">
        <v>569.39</v>
      </c>
      <c r="Q101" s="13">
        <f t="shared" si="10"/>
        <v>1.06988509187212</v>
      </c>
      <c r="R101" s="11">
        <v>569.39</v>
      </c>
      <c r="S101" s="13">
        <f t="shared" si="11"/>
        <v>1.06988509187212</v>
      </c>
      <c r="T101" s="9">
        <v>11382</v>
      </c>
      <c r="U101" s="13">
        <f t="shared" si="12"/>
        <v>21.3868036243849</v>
      </c>
      <c r="V101" s="12">
        <f t="shared" si="13"/>
        <v>0.180529120669966</v>
      </c>
      <c r="W101" s="17">
        <f>COUNTIFS(源数据[日期],源数据[[#This Row],[日期]],源数据[账号id],源数据[[#This Row],[账号id]])</f>
        <v>1</v>
      </c>
      <c r="X101" s="15">
        <f>IFERROR(源数据[[#This Row],[点击量]]/源数据[[#This Row],[展示量]],"")</f>
        <v>0.032895571627966</v>
      </c>
      <c r="Y101" s="16">
        <f>IFERROR(源数据[[#This Row],[播放量]]/源数据[[#This Row],[展示量]],"")</f>
        <v>0.180529120669966</v>
      </c>
      <c r="Z101" s="16">
        <f>IFERROR(源数据[[#This Row],[三连投放总消耗(毫分)]]/源数据[[#This Row],[播放量]],"")</f>
        <v>0.0467578053066245</v>
      </c>
      <c r="AA10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02" s="2" customFormat="1" spans="1:27">
      <c r="A102" s="7">
        <v>46204</v>
      </c>
      <c r="B102" s="8" t="s">
        <v>298</v>
      </c>
      <c r="C102" s="8" t="s">
        <v>299</v>
      </c>
      <c r="D102" s="8" t="s">
        <v>91</v>
      </c>
      <c r="E102" s="8" t="s">
        <v>92</v>
      </c>
      <c r="F102" s="8" t="s">
        <v>115</v>
      </c>
      <c r="G102" s="9">
        <v>49187</v>
      </c>
      <c r="H102" s="9">
        <v>2306</v>
      </c>
      <c r="I102" s="10">
        <v>529.85237</v>
      </c>
      <c r="J102" s="11">
        <v>529.74</v>
      </c>
      <c r="K102" s="12">
        <f t="shared" si="7"/>
        <v>0.0468823063004452</v>
      </c>
      <c r="L102" s="13">
        <f t="shared" si="8"/>
        <v>10.772203427735</v>
      </c>
      <c r="M102" s="13">
        <f t="shared" si="9"/>
        <v>0.229771192541197</v>
      </c>
      <c r="N102" s="11">
        <v>0</v>
      </c>
      <c r="O102" s="11">
        <v>0</v>
      </c>
      <c r="P102" s="11">
        <v>558.43</v>
      </c>
      <c r="Q102" s="13">
        <f t="shared" si="10"/>
        <v>1.05393508006768</v>
      </c>
      <c r="R102" s="11">
        <v>558.43</v>
      </c>
      <c r="S102" s="13">
        <f t="shared" si="11"/>
        <v>1.05393508006768</v>
      </c>
      <c r="T102" s="9">
        <v>14223</v>
      </c>
      <c r="U102" s="13">
        <f t="shared" si="12"/>
        <v>26.8433261891421</v>
      </c>
      <c r="V102" s="12">
        <f t="shared" si="13"/>
        <v>0.289161770386484</v>
      </c>
      <c r="W102" s="17">
        <f>COUNTIFS(源数据[日期],源数据[[#This Row],[日期]],源数据[账号id],源数据[[#This Row],[账号id]])</f>
        <v>1</v>
      </c>
      <c r="X102" s="15">
        <f>IFERROR(源数据[[#This Row],[点击量]]/源数据[[#This Row],[展示量]],"")</f>
        <v>0.0468823063004452</v>
      </c>
      <c r="Y102" s="16">
        <f>IFERROR(源数据[[#This Row],[播放量]]/源数据[[#This Row],[展示量]],"")</f>
        <v>0.289161770386484</v>
      </c>
      <c r="Z102" s="16">
        <f>IFERROR(源数据[[#This Row],[三连投放总消耗(毫分)]]/源数据[[#This Row],[播放量]],"")</f>
        <v>0.0372532074808409</v>
      </c>
      <c r="AA10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03" s="2" customFormat="1" spans="1:27">
      <c r="A103" s="7">
        <v>46204</v>
      </c>
      <c r="B103" s="8" t="s">
        <v>300</v>
      </c>
      <c r="C103" s="8" t="s">
        <v>301</v>
      </c>
      <c r="D103" s="8" t="s">
        <v>91</v>
      </c>
      <c r="E103" s="8" t="s">
        <v>92</v>
      </c>
      <c r="F103" s="8" t="s">
        <v>96</v>
      </c>
      <c r="G103" s="9">
        <v>60411</v>
      </c>
      <c r="H103" s="9">
        <v>2602</v>
      </c>
      <c r="I103" s="10">
        <v>527.78986</v>
      </c>
      <c r="J103" s="11">
        <v>527.69</v>
      </c>
      <c r="K103" s="12">
        <f t="shared" si="7"/>
        <v>0.0430716260283723</v>
      </c>
      <c r="L103" s="13">
        <f t="shared" si="8"/>
        <v>8.73665160318485</v>
      </c>
      <c r="M103" s="13">
        <f t="shared" si="9"/>
        <v>0.202840069177556</v>
      </c>
      <c r="N103" s="11">
        <v>0</v>
      </c>
      <c r="O103" s="11">
        <v>0</v>
      </c>
      <c r="P103" s="11">
        <v>622.65</v>
      </c>
      <c r="Q103" s="13">
        <f t="shared" si="10"/>
        <v>1.17973088759227</v>
      </c>
      <c r="R103" s="11">
        <v>622.65</v>
      </c>
      <c r="S103" s="13">
        <f t="shared" si="11"/>
        <v>1.17973088759227</v>
      </c>
      <c r="T103" s="9">
        <v>9380</v>
      </c>
      <c r="U103" s="13">
        <f t="shared" si="12"/>
        <v>17.7722247259544</v>
      </c>
      <c r="V103" s="12">
        <f t="shared" si="13"/>
        <v>0.155269735644171</v>
      </c>
      <c r="W103" s="17">
        <f>COUNTIFS(源数据[日期],源数据[[#This Row],[日期]],源数据[账号id],源数据[[#This Row],[账号id]])</f>
        <v>1</v>
      </c>
      <c r="X103" s="15">
        <f>IFERROR(源数据[[#This Row],[点击量]]/源数据[[#This Row],[展示量]],"")</f>
        <v>0.0430716260283723</v>
      </c>
      <c r="Y103" s="16">
        <f>IFERROR(源数据[[#This Row],[播放量]]/源数据[[#This Row],[展示量]],"")</f>
        <v>0.155269735644171</v>
      </c>
      <c r="Z103" s="16">
        <f>IFERROR(源数据[[#This Row],[三连投放总消耗(毫分)]]/源数据[[#This Row],[播放量]],"")</f>
        <v>0.0562675756929637</v>
      </c>
      <c r="AA10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04" s="2" customFormat="1" spans="1:27">
      <c r="A104" s="7">
        <v>46204</v>
      </c>
      <c r="B104" s="8" t="s">
        <v>302</v>
      </c>
      <c r="C104" s="8" t="s">
        <v>303</v>
      </c>
      <c r="D104" s="8" t="s">
        <v>91</v>
      </c>
      <c r="E104" s="8" t="s">
        <v>92</v>
      </c>
      <c r="F104" s="8" t="s">
        <v>96</v>
      </c>
      <c r="G104" s="9">
        <v>64881</v>
      </c>
      <c r="H104" s="9">
        <v>3626</v>
      </c>
      <c r="I104" s="10">
        <v>519.0642</v>
      </c>
      <c r="J104" s="11">
        <v>518.96</v>
      </c>
      <c r="K104" s="12">
        <f t="shared" si="7"/>
        <v>0.0558869314591329</v>
      </c>
      <c r="L104" s="13">
        <f t="shared" si="8"/>
        <v>8.00024968789014</v>
      </c>
      <c r="M104" s="13">
        <f t="shared" si="9"/>
        <v>0.143150634307777</v>
      </c>
      <c r="N104" s="11">
        <v>0</v>
      </c>
      <c r="O104" s="11">
        <v>0</v>
      </c>
      <c r="P104" s="11">
        <v>551.6</v>
      </c>
      <c r="Q104" s="13">
        <f t="shared" si="10"/>
        <v>1.06268164901374</v>
      </c>
      <c r="R104" s="11">
        <v>551.6</v>
      </c>
      <c r="S104" s="13">
        <f t="shared" si="11"/>
        <v>1.06268164901374</v>
      </c>
      <c r="T104" s="9">
        <v>8588</v>
      </c>
      <c r="U104" s="13">
        <f t="shared" si="12"/>
        <v>16.545159539032</v>
      </c>
      <c r="V104" s="12">
        <f t="shared" si="13"/>
        <v>0.132365407438233</v>
      </c>
      <c r="W104" s="17">
        <f>COUNTIFS(源数据[日期],源数据[[#This Row],[日期]],源数据[账号id],源数据[[#This Row],[账号id]])</f>
        <v>1</v>
      </c>
      <c r="X104" s="15">
        <f>IFERROR(源数据[[#This Row],[点击量]]/源数据[[#This Row],[展示量]],"")</f>
        <v>0.0558869314591329</v>
      </c>
      <c r="Y104" s="16">
        <f>IFERROR(源数据[[#This Row],[播放量]]/源数据[[#This Row],[展示量]],"")</f>
        <v>0.132365407438233</v>
      </c>
      <c r="Z104" s="16">
        <f>IFERROR(源数据[[#This Row],[三连投放总消耗(毫分)]]/源数据[[#This Row],[播放量]],"")</f>
        <v>0.060440638099674</v>
      </c>
      <c r="AA10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05" s="2" customFormat="1" spans="1:27">
      <c r="A105" s="7">
        <v>46204</v>
      </c>
      <c r="B105" s="8" t="s">
        <v>304</v>
      </c>
      <c r="C105" s="8" t="s">
        <v>305</v>
      </c>
      <c r="D105" s="8" t="s">
        <v>91</v>
      </c>
      <c r="E105" s="8" t="s">
        <v>92</v>
      </c>
      <c r="F105" s="8" t="s">
        <v>110</v>
      </c>
      <c r="G105" s="9">
        <v>60915</v>
      </c>
      <c r="H105" s="9">
        <v>3935</v>
      </c>
      <c r="I105" s="10">
        <v>502.39328</v>
      </c>
      <c r="J105" s="11">
        <v>502.32</v>
      </c>
      <c r="K105" s="12">
        <f t="shared" si="7"/>
        <v>0.0645982106213576</v>
      </c>
      <c r="L105" s="13">
        <f t="shared" si="8"/>
        <v>8.24744775506854</v>
      </c>
      <c r="M105" s="13">
        <f t="shared" si="9"/>
        <v>0.12767300635324</v>
      </c>
      <c r="N105" s="11">
        <v>68.23</v>
      </c>
      <c r="O105" s="11">
        <v>68.23</v>
      </c>
      <c r="P105" s="11">
        <v>394.89</v>
      </c>
      <c r="Q105" s="13">
        <f t="shared" si="10"/>
        <v>0.786017679217365</v>
      </c>
      <c r="R105" s="11">
        <v>463.12</v>
      </c>
      <c r="S105" s="13">
        <f t="shared" si="11"/>
        <v>0.921827616802518</v>
      </c>
      <c r="T105" s="9">
        <v>6125</v>
      </c>
      <c r="U105" s="13">
        <f t="shared" si="12"/>
        <v>12.1916439646645</v>
      </c>
      <c r="V105" s="12">
        <f t="shared" si="13"/>
        <v>0.100549946646967</v>
      </c>
      <c r="W105" s="17">
        <f>COUNTIFS(源数据[日期],源数据[[#This Row],[日期]],源数据[账号id],源数据[[#This Row],[账号id]])</f>
        <v>1</v>
      </c>
      <c r="X105" s="15">
        <f>IFERROR(源数据[[#This Row],[点击量]]/源数据[[#This Row],[展示量]],"")</f>
        <v>0.0645982106213576</v>
      </c>
      <c r="Y105" s="16">
        <f>IFERROR(源数据[[#This Row],[播放量]]/源数据[[#This Row],[展示量]],"")</f>
        <v>0.100549946646967</v>
      </c>
      <c r="Z105" s="16">
        <f>IFERROR(源数据[[#This Row],[三连投放总消耗(毫分)]]/源数据[[#This Row],[播放量]],"")</f>
        <v>0.0820233926530612</v>
      </c>
      <c r="AA10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06" s="2" customFormat="1" spans="1:27">
      <c r="A106" s="7">
        <v>46204</v>
      </c>
      <c r="B106" s="8" t="s">
        <v>306</v>
      </c>
      <c r="C106" s="8" t="s">
        <v>307</v>
      </c>
      <c r="D106" s="8" t="s">
        <v>91</v>
      </c>
      <c r="E106" s="8" t="s">
        <v>92</v>
      </c>
      <c r="F106" s="8" t="s">
        <v>115</v>
      </c>
      <c r="G106" s="9">
        <v>37435</v>
      </c>
      <c r="H106" s="9">
        <v>1197</v>
      </c>
      <c r="I106" s="10">
        <v>476.61049</v>
      </c>
      <c r="J106" s="11">
        <v>476.55</v>
      </c>
      <c r="K106" s="12">
        <f t="shared" si="7"/>
        <v>0.0319754240683852</v>
      </c>
      <c r="L106" s="13">
        <f t="shared" si="8"/>
        <v>12.7316813142781</v>
      </c>
      <c r="M106" s="13">
        <f t="shared" si="9"/>
        <v>0.398170835421888</v>
      </c>
      <c r="N106" s="11">
        <v>0</v>
      </c>
      <c r="O106" s="11">
        <v>0</v>
      </c>
      <c r="P106" s="11">
        <v>486.17</v>
      </c>
      <c r="Q106" s="13">
        <f t="shared" si="10"/>
        <v>1.02005727989747</v>
      </c>
      <c r="R106" s="11">
        <v>486.17</v>
      </c>
      <c r="S106" s="13">
        <f t="shared" si="11"/>
        <v>1.02005727989747</v>
      </c>
      <c r="T106" s="9">
        <v>8878</v>
      </c>
      <c r="U106" s="13">
        <f t="shared" si="12"/>
        <v>18.627370119361</v>
      </c>
      <c r="V106" s="12">
        <f t="shared" si="13"/>
        <v>0.23715774008281</v>
      </c>
      <c r="W106" s="17">
        <f>COUNTIFS(源数据[日期],源数据[[#This Row],[日期]],源数据[账号id],源数据[[#This Row],[账号id]])</f>
        <v>1</v>
      </c>
      <c r="X106" s="15">
        <f>IFERROR(源数据[[#This Row],[点击量]]/源数据[[#This Row],[展示量]],"")</f>
        <v>0.0319754240683852</v>
      </c>
      <c r="Y106" s="16">
        <f>IFERROR(源数据[[#This Row],[播放量]]/源数据[[#This Row],[展示量]],"")</f>
        <v>0.23715774008281</v>
      </c>
      <c r="Z106" s="16">
        <f>IFERROR(源数据[[#This Row],[三连投放总消耗(毫分)]]/源数据[[#This Row],[播放量]],"")</f>
        <v>0.0536844435683713</v>
      </c>
      <c r="AA10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07" s="2" customFormat="1" spans="1:27">
      <c r="A107" s="7">
        <v>46204</v>
      </c>
      <c r="B107" s="8" t="s">
        <v>308</v>
      </c>
      <c r="C107" s="8" t="s">
        <v>309</v>
      </c>
      <c r="D107" s="8" t="s">
        <v>91</v>
      </c>
      <c r="E107" s="8" t="s">
        <v>92</v>
      </c>
      <c r="F107" s="8" t="s">
        <v>115</v>
      </c>
      <c r="G107" s="9">
        <v>31136</v>
      </c>
      <c r="H107" s="9">
        <v>1657</v>
      </c>
      <c r="I107" s="10">
        <v>470.714</v>
      </c>
      <c r="J107" s="11">
        <v>470.61</v>
      </c>
      <c r="K107" s="12">
        <f t="shared" si="7"/>
        <v>0.0532181397738952</v>
      </c>
      <c r="L107" s="13">
        <f t="shared" si="8"/>
        <v>15.1179984583762</v>
      </c>
      <c r="M107" s="13">
        <f t="shared" si="9"/>
        <v>0.284076041038021</v>
      </c>
      <c r="N107" s="11">
        <v>0</v>
      </c>
      <c r="O107" s="11">
        <v>0</v>
      </c>
      <c r="P107" s="11">
        <v>506.76</v>
      </c>
      <c r="Q107" s="13">
        <f t="shared" si="10"/>
        <v>1.07657728472066</v>
      </c>
      <c r="R107" s="11">
        <v>506.76</v>
      </c>
      <c r="S107" s="13">
        <f t="shared" si="11"/>
        <v>1.07657728472066</v>
      </c>
      <c r="T107" s="9">
        <v>10665</v>
      </c>
      <c r="U107" s="13">
        <f t="shared" si="12"/>
        <v>22.6570698980697</v>
      </c>
      <c r="V107" s="12">
        <f t="shared" si="13"/>
        <v>0.342529547790339</v>
      </c>
      <c r="W107" s="17">
        <f>COUNTIFS(源数据[日期],源数据[[#This Row],[日期]],源数据[账号id],源数据[[#This Row],[账号id]])</f>
        <v>1</v>
      </c>
      <c r="X107" s="15">
        <f>IFERROR(源数据[[#This Row],[点击量]]/源数据[[#This Row],[展示量]],"")</f>
        <v>0.0532181397738952</v>
      </c>
      <c r="Y107" s="16">
        <f>IFERROR(源数据[[#This Row],[播放量]]/源数据[[#This Row],[展示量]],"")</f>
        <v>0.342529547790339</v>
      </c>
      <c r="Z107" s="16">
        <f>IFERROR(源数据[[#This Row],[三连投放总消耗(毫分)]]/源数据[[#This Row],[播放量]],"")</f>
        <v>0.0441363338021566</v>
      </c>
      <c r="AA10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08" s="2" customFormat="1" spans="1:27">
      <c r="A108" s="7">
        <v>46204</v>
      </c>
      <c r="B108" s="8" t="s">
        <v>310</v>
      </c>
      <c r="C108" s="8" t="s">
        <v>311</v>
      </c>
      <c r="D108" s="8" t="s">
        <v>91</v>
      </c>
      <c r="E108" s="8" t="s">
        <v>92</v>
      </c>
      <c r="F108" s="8" t="s">
        <v>115</v>
      </c>
      <c r="G108" s="9">
        <v>38385</v>
      </c>
      <c r="H108" s="9">
        <v>2362</v>
      </c>
      <c r="I108" s="10">
        <v>468.49238</v>
      </c>
      <c r="J108" s="11">
        <v>468.4</v>
      </c>
      <c r="K108" s="12">
        <f t="shared" si="7"/>
        <v>0.0615344535625896</v>
      </c>
      <c r="L108" s="13">
        <f t="shared" si="8"/>
        <v>12.2050900091181</v>
      </c>
      <c r="M108" s="13">
        <f t="shared" si="9"/>
        <v>0.198345630821338</v>
      </c>
      <c r="N108" s="11">
        <v>0</v>
      </c>
      <c r="O108" s="11">
        <v>0</v>
      </c>
      <c r="P108" s="11">
        <v>484.9</v>
      </c>
      <c r="Q108" s="13">
        <f t="shared" si="10"/>
        <v>1.03502217047799</v>
      </c>
      <c r="R108" s="11">
        <v>484.9</v>
      </c>
      <c r="S108" s="13">
        <f t="shared" si="11"/>
        <v>1.03502217047799</v>
      </c>
      <c r="T108" s="9">
        <v>9375</v>
      </c>
      <c r="U108" s="13">
        <f t="shared" si="12"/>
        <v>20.0109978309573</v>
      </c>
      <c r="V108" s="12">
        <f t="shared" si="13"/>
        <v>0.244236029699101</v>
      </c>
      <c r="W108" s="17">
        <f>COUNTIFS(源数据[日期],源数据[[#This Row],[日期]],源数据[账号id],源数据[[#This Row],[账号id]])</f>
        <v>1</v>
      </c>
      <c r="X108" s="15">
        <f>IFERROR(源数据[[#This Row],[点击量]]/源数据[[#This Row],[展示量]],"")</f>
        <v>0.0615344535625896</v>
      </c>
      <c r="Y108" s="16">
        <f>IFERROR(源数据[[#This Row],[播放量]]/源数据[[#This Row],[展示量]],"")</f>
        <v>0.244236029699101</v>
      </c>
      <c r="Z108" s="16">
        <f>IFERROR(源数据[[#This Row],[三连投放总消耗(毫分)]]/源数据[[#This Row],[播放量]],"")</f>
        <v>0.0499725205333333</v>
      </c>
      <c r="AA10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09" s="2" customFormat="1" spans="1:27">
      <c r="A109" s="7">
        <v>46204</v>
      </c>
      <c r="B109" s="8" t="s">
        <v>312</v>
      </c>
      <c r="C109" s="8" t="s">
        <v>313</v>
      </c>
      <c r="D109" s="8" t="s">
        <v>91</v>
      </c>
      <c r="E109" s="8" t="s">
        <v>92</v>
      </c>
      <c r="F109" s="8" t="s">
        <v>96</v>
      </c>
      <c r="G109" s="9">
        <v>36267</v>
      </c>
      <c r="H109" s="9">
        <v>1117</v>
      </c>
      <c r="I109" s="10">
        <v>463.88435</v>
      </c>
      <c r="J109" s="11">
        <v>463.75</v>
      </c>
      <c r="K109" s="12">
        <f t="shared" si="7"/>
        <v>0.0307993492706869</v>
      </c>
      <c r="L109" s="13">
        <f t="shared" si="8"/>
        <v>12.7908112057794</v>
      </c>
      <c r="M109" s="13">
        <f t="shared" si="9"/>
        <v>0.415294852282901</v>
      </c>
      <c r="N109" s="11">
        <v>0</v>
      </c>
      <c r="O109" s="11">
        <v>0</v>
      </c>
      <c r="P109" s="11">
        <v>477.92</v>
      </c>
      <c r="Q109" s="13">
        <f t="shared" si="10"/>
        <v>1.03025678706341</v>
      </c>
      <c r="R109" s="11">
        <v>477.92</v>
      </c>
      <c r="S109" s="13">
        <f t="shared" si="11"/>
        <v>1.03025678706341</v>
      </c>
      <c r="T109" s="9">
        <v>9623</v>
      </c>
      <c r="U109" s="13">
        <f t="shared" si="12"/>
        <v>20.7443945888668</v>
      </c>
      <c r="V109" s="12">
        <f t="shared" si="13"/>
        <v>0.265337634764386</v>
      </c>
      <c r="W109" s="17">
        <f>COUNTIFS(源数据[日期],源数据[[#This Row],[日期]],源数据[账号id],源数据[[#This Row],[账号id]])</f>
        <v>1</v>
      </c>
      <c r="X109" s="15">
        <f>IFERROR(源数据[[#This Row],[点击量]]/源数据[[#This Row],[展示量]],"")</f>
        <v>0.0307993492706869</v>
      </c>
      <c r="Y109" s="16">
        <f>IFERROR(源数据[[#This Row],[播放量]]/源数据[[#This Row],[展示量]],"")</f>
        <v>0.265337634764386</v>
      </c>
      <c r="Z109" s="16">
        <f>IFERROR(源数据[[#This Row],[三连投放总消耗(毫分)]]/源数据[[#This Row],[播放量]],"")</f>
        <v>0.048205793411618</v>
      </c>
      <c r="AA10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10" s="2" customFormat="1" spans="1:27">
      <c r="A110" s="7">
        <v>46204</v>
      </c>
      <c r="B110" s="8" t="s">
        <v>314</v>
      </c>
      <c r="C110" s="8" t="s">
        <v>315</v>
      </c>
      <c r="D110" s="8" t="s">
        <v>91</v>
      </c>
      <c r="E110" s="8" t="s">
        <v>92</v>
      </c>
      <c r="F110" s="8" t="s">
        <v>93</v>
      </c>
      <c r="G110" s="9">
        <v>44225</v>
      </c>
      <c r="H110" s="9">
        <v>986</v>
      </c>
      <c r="I110" s="10">
        <v>460.31038</v>
      </c>
      <c r="J110" s="11">
        <v>460.25</v>
      </c>
      <c r="K110" s="12">
        <f t="shared" si="7"/>
        <v>0.0222950819672131</v>
      </c>
      <c r="L110" s="13">
        <f t="shared" si="8"/>
        <v>10.4083749010741</v>
      </c>
      <c r="M110" s="13">
        <f t="shared" si="9"/>
        <v>0.466846227180527</v>
      </c>
      <c r="N110" s="11">
        <v>0</v>
      </c>
      <c r="O110" s="11">
        <v>0</v>
      </c>
      <c r="P110" s="11">
        <v>461.25</v>
      </c>
      <c r="Q110" s="13">
        <f t="shared" si="10"/>
        <v>1.0020412748459</v>
      </c>
      <c r="R110" s="11">
        <v>461.25</v>
      </c>
      <c r="S110" s="13">
        <f t="shared" si="11"/>
        <v>1.0020412748459</v>
      </c>
      <c r="T110" s="9">
        <v>9961</v>
      </c>
      <c r="U110" s="13">
        <f t="shared" si="12"/>
        <v>21.6397466422547</v>
      </c>
      <c r="V110" s="12">
        <f t="shared" si="13"/>
        <v>0.225234595816846</v>
      </c>
      <c r="W110" s="17">
        <f>COUNTIFS(源数据[日期],源数据[[#This Row],[日期]],源数据[账号id],源数据[[#This Row],[账号id]])</f>
        <v>1</v>
      </c>
      <c r="X110" s="15">
        <f>IFERROR(源数据[[#This Row],[点击量]]/源数据[[#This Row],[展示量]],"")</f>
        <v>0.0222950819672131</v>
      </c>
      <c r="Y110" s="16">
        <f>IFERROR(源数据[[#This Row],[播放量]]/源数据[[#This Row],[展示量]],"")</f>
        <v>0.225234595816846</v>
      </c>
      <c r="Z110" s="16">
        <f>IFERROR(源数据[[#This Row],[三连投放总消耗(毫分)]]/源数据[[#This Row],[播放量]],"")</f>
        <v>0.0462112619214938</v>
      </c>
      <c r="AA11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11" s="2" customFormat="1" spans="1:27">
      <c r="A111" s="7">
        <v>46204</v>
      </c>
      <c r="B111" s="8" t="s">
        <v>316</v>
      </c>
      <c r="C111" s="8" t="s">
        <v>317</v>
      </c>
      <c r="D111" s="8" t="s">
        <v>91</v>
      </c>
      <c r="E111" s="8" t="s">
        <v>92</v>
      </c>
      <c r="F111" s="8" t="s">
        <v>115</v>
      </c>
      <c r="G111" s="9">
        <v>46546</v>
      </c>
      <c r="H111" s="9">
        <v>2059</v>
      </c>
      <c r="I111" s="10">
        <v>459.24681</v>
      </c>
      <c r="J111" s="11">
        <v>459.16</v>
      </c>
      <c r="K111" s="12">
        <f t="shared" si="7"/>
        <v>0.0442358097366046</v>
      </c>
      <c r="L111" s="13">
        <f t="shared" si="8"/>
        <v>9.86651506037039</v>
      </c>
      <c r="M111" s="13">
        <f t="shared" si="9"/>
        <v>0.223043618261292</v>
      </c>
      <c r="N111" s="11">
        <v>0</v>
      </c>
      <c r="O111" s="11">
        <v>0</v>
      </c>
      <c r="P111" s="11">
        <v>456.31</v>
      </c>
      <c r="Q111" s="13">
        <f t="shared" si="10"/>
        <v>0.99360515971793</v>
      </c>
      <c r="R111" s="11">
        <v>456.31</v>
      </c>
      <c r="S111" s="13">
        <f t="shared" si="11"/>
        <v>0.99360515971793</v>
      </c>
      <c r="T111" s="9">
        <v>9061</v>
      </c>
      <c r="U111" s="13">
        <f t="shared" si="12"/>
        <v>19.7301316039626</v>
      </c>
      <c r="V111" s="12">
        <f t="shared" si="13"/>
        <v>0.194667640613587</v>
      </c>
      <c r="W111" s="17">
        <f>COUNTIFS(源数据[日期],源数据[[#This Row],[日期]],源数据[账号id],源数据[[#This Row],[账号id]])</f>
        <v>1</v>
      </c>
      <c r="X111" s="15">
        <f>IFERROR(源数据[[#This Row],[点击量]]/源数据[[#This Row],[展示量]],"")</f>
        <v>0.0442358097366046</v>
      </c>
      <c r="Y111" s="16">
        <f>IFERROR(源数据[[#This Row],[播放量]]/源数据[[#This Row],[展示量]],"")</f>
        <v>0.194667640613587</v>
      </c>
      <c r="Z111" s="16">
        <f>IFERROR(源数据[[#This Row],[三连投放总消耗(毫分)]]/源数据[[#This Row],[播放量]],"")</f>
        <v>0.0506838991281316</v>
      </c>
      <c r="AA11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12" s="2" customFormat="1" spans="1:27">
      <c r="A112" s="7">
        <v>46204</v>
      </c>
      <c r="B112" s="8" t="s">
        <v>318</v>
      </c>
      <c r="C112" s="8" t="s">
        <v>319</v>
      </c>
      <c r="D112" s="8" t="s">
        <v>91</v>
      </c>
      <c r="E112" s="8" t="s">
        <v>92</v>
      </c>
      <c r="F112" s="8" t="s">
        <v>115</v>
      </c>
      <c r="G112" s="9">
        <v>41351</v>
      </c>
      <c r="H112" s="9">
        <v>2377</v>
      </c>
      <c r="I112" s="10">
        <v>454.13996</v>
      </c>
      <c r="J112" s="11">
        <v>454.02</v>
      </c>
      <c r="K112" s="12">
        <f t="shared" si="7"/>
        <v>0.0574834949578003</v>
      </c>
      <c r="L112" s="13">
        <f t="shared" si="8"/>
        <v>10.9825629368093</v>
      </c>
      <c r="M112" s="13">
        <f t="shared" si="9"/>
        <v>0.191055936053849</v>
      </c>
      <c r="N112" s="11">
        <v>0</v>
      </c>
      <c r="O112" s="11">
        <v>0</v>
      </c>
      <c r="P112" s="11">
        <v>478.68</v>
      </c>
      <c r="Q112" s="13">
        <f t="shared" si="10"/>
        <v>1.05403629312866</v>
      </c>
      <c r="R112" s="11">
        <v>478.68</v>
      </c>
      <c r="S112" s="13">
        <f t="shared" si="11"/>
        <v>1.05403629312866</v>
      </c>
      <c r="T112" s="9">
        <v>12001</v>
      </c>
      <c r="U112" s="13">
        <f t="shared" si="12"/>
        <v>26.4257741159796</v>
      </c>
      <c r="V112" s="12">
        <f t="shared" si="13"/>
        <v>0.290222727382651</v>
      </c>
      <c r="W112" s="17">
        <f>COUNTIFS(源数据[日期],源数据[[#This Row],[日期]],源数据[账号id],源数据[[#This Row],[账号id]])</f>
        <v>1</v>
      </c>
      <c r="X112" s="15">
        <f>IFERROR(源数据[[#This Row],[点击量]]/源数据[[#This Row],[展示量]],"")</f>
        <v>0.0574834949578003</v>
      </c>
      <c r="Y112" s="16">
        <f>IFERROR(源数据[[#This Row],[播放量]]/源数据[[#This Row],[展示量]],"")</f>
        <v>0.290222727382651</v>
      </c>
      <c r="Z112" s="16">
        <f>IFERROR(源数据[[#This Row],[三连投放总消耗(毫分)]]/源数据[[#This Row],[播放量]],"")</f>
        <v>0.037841843179735</v>
      </c>
      <c r="AA11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13" s="2" customFormat="1" spans="1:27">
      <c r="A113" s="7">
        <v>46204</v>
      </c>
      <c r="B113" s="8" t="s">
        <v>320</v>
      </c>
      <c r="C113" s="8" t="s">
        <v>321</v>
      </c>
      <c r="D113" s="8" t="s">
        <v>91</v>
      </c>
      <c r="E113" s="8" t="s">
        <v>92</v>
      </c>
      <c r="F113" s="8" t="s">
        <v>115</v>
      </c>
      <c r="G113" s="9">
        <v>42301</v>
      </c>
      <c r="H113" s="9">
        <v>3012</v>
      </c>
      <c r="I113" s="10">
        <v>428.47353</v>
      </c>
      <c r="J113" s="11">
        <v>428.35</v>
      </c>
      <c r="K113" s="12">
        <f t="shared" si="7"/>
        <v>0.0712039904493984</v>
      </c>
      <c r="L113" s="13">
        <f t="shared" si="8"/>
        <v>10.1291584123307</v>
      </c>
      <c r="M113" s="13">
        <f t="shared" si="9"/>
        <v>0.142255488047809</v>
      </c>
      <c r="N113" s="11">
        <v>0</v>
      </c>
      <c r="O113" s="11">
        <v>0</v>
      </c>
      <c r="P113" s="11">
        <v>466.79</v>
      </c>
      <c r="Q113" s="13">
        <f t="shared" si="10"/>
        <v>1.08942552413915</v>
      </c>
      <c r="R113" s="11">
        <v>466.79</v>
      </c>
      <c r="S113" s="13">
        <f t="shared" si="11"/>
        <v>1.08942552413915</v>
      </c>
      <c r="T113" s="9">
        <v>10651</v>
      </c>
      <c r="U113" s="13">
        <f t="shared" si="12"/>
        <v>24.8580116489343</v>
      </c>
      <c r="V113" s="12">
        <f t="shared" si="13"/>
        <v>0.251790737807617</v>
      </c>
      <c r="W113" s="17">
        <f>COUNTIFS(源数据[日期],源数据[[#This Row],[日期]],源数据[账号id],源数据[[#This Row],[账号id]])</f>
        <v>1</v>
      </c>
      <c r="X113" s="15">
        <f>IFERROR(源数据[[#This Row],[点击量]]/源数据[[#This Row],[展示量]],"")</f>
        <v>0.0712039904493984</v>
      </c>
      <c r="Y113" s="16">
        <f>IFERROR(源数据[[#This Row],[播放量]]/源数据[[#This Row],[展示量]],"")</f>
        <v>0.251790737807617</v>
      </c>
      <c r="Z113" s="16">
        <f>IFERROR(源数据[[#This Row],[三连投放总消耗(毫分)]]/源数据[[#This Row],[播放量]],"")</f>
        <v>0.0402284790160548</v>
      </c>
      <c r="AA11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14" s="2" customFormat="1" spans="1:27">
      <c r="A114" s="7">
        <v>46204</v>
      </c>
      <c r="B114" s="8" t="s">
        <v>322</v>
      </c>
      <c r="C114" s="8" t="s">
        <v>323</v>
      </c>
      <c r="D114" s="8" t="s">
        <v>91</v>
      </c>
      <c r="E114" s="8" t="s">
        <v>92</v>
      </c>
      <c r="F114" s="8" t="s">
        <v>96</v>
      </c>
      <c r="G114" s="9">
        <v>41300</v>
      </c>
      <c r="H114" s="9">
        <v>2081</v>
      </c>
      <c r="I114" s="10">
        <v>425.21521</v>
      </c>
      <c r="J114" s="11">
        <v>425.09</v>
      </c>
      <c r="K114" s="12">
        <f t="shared" si="7"/>
        <v>0.0503874092009685</v>
      </c>
      <c r="L114" s="13">
        <f t="shared" si="8"/>
        <v>10.2957677966102</v>
      </c>
      <c r="M114" s="13">
        <f t="shared" si="9"/>
        <v>0.204332152811148</v>
      </c>
      <c r="N114" s="11">
        <v>0</v>
      </c>
      <c r="O114" s="11">
        <v>0</v>
      </c>
      <c r="P114" s="11">
        <v>417.03</v>
      </c>
      <c r="Q114" s="13">
        <f t="shared" si="10"/>
        <v>0.980750429882318</v>
      </c>
      <c r="R114" s="11">
        <v>417.03</v>
      </c>
      <c r="S114" s="13">
        <f t="shared" si="11"/>
        <v>0.980750429882318</v>
      </c>
      <c r="T114" s="9">
        <v>9419</v>
      </c>
      <c r="U114" s="13">
        <f t="shared" si="12"/>
        <v>22.1511361270449</v>
      </c>
      <c r="V114" s="12">
        <f t="shared" si="13"/>
        <v>0.228062953995157</v>
      </c>
      <c r="W114" s="17">
        <f>COUNTIFS(源数据[日期],源数据[[#This Row],[日期]],源数据[账号id],源数据[[#This Row],[账号id]])</f>
        <v>1</v>
      </c>
      <c r="X114" s="15">
        <f>IFERROR(源数据[[#This Row],[点击量]]/源数据[[#This Row],[展示量]],"")</f>
        <v>0.0503874092009685</v>
      </c>
      <c r="Y114" s="16">
        <f>IFERROR(源数据[[#This Row],[播放量]]/源数据[[#This Row],[展示量]],"")</f>
        <v>0.228062953995157</v>
      </c>
      <c r="Z114" s="16">
        <f>IFERROR(源数据[[#This Row],[三连投放总消耗(毫分)]]/源数据[[#This Row],[播放量]],"")</f>
        <v>0.045144411296316</v>
      </c>
      <c r="AA11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15" s="2" customFormat="1" spans="1:27">
      <c r="A115" s="7">
        <v>46204</v>
      </c>
      <c r="B115" s="8" t="s">
        <v>324</v>
      </c>
      <c r="C115" s="8" t="s">
        <v>325</v>
      </c>
      <c r="D115" s="8" t="s">
        <v>91</v>
      </c>
      <c r="E115" s="8" t="s">
        <v>92</v>
      </c>
      <c r="F115" s="8" t="s">
        <v>93</v>
      </c>
      <c r="G115" s="9">
        <v>23935</v>
      </c>
      <c r="H115" s="9">
        <v>1766</v>
      </c>
      <c r="I115" s="10">
        <v>423.7592</v>
      </c>
      <c r="J115" s="11">
        <v>423.64</v>
      </c>
      <c r="K115" s="12">
        <f t="shared" si="7"/>
        <v>0.0737831627324003</v>
      </c>
      <c r="L115" s="13">
        <f t="shared" si="8"/>
        <v>17.704583246292</v>
      </c>
      <c r="M115" s="13">
        <f t="shared" si="9"/>
        <v>0.239954246885617</v>
      </c>
      <c r="N115" s="11">
        <v>0</v>
      </c>
      <c r="O115" s="11">
        <v>0</v>
      </c>
      <c r="P115" s="11">
        <v>432.54</v>
      </c>
      <c r="Q115" s="13">
        <f t="shared" si="10"/>
        <v>1.02072120204116</v>
      </c>
      <c r="R115" s="11">
        <v>432.54</v>
      </c>
      <c r="S115" s="13">
        <f t="shared" si="11"/>
        <v>1.02072120204116</v>
      </c>
      <c r="T115" s="9">
        <v>5126</v>
      </c>
      <c r="U115" s="13">
        <f t="shared" si="12"/>
        <v>12.0964925363272</v>
      </c>
      <c r="V115" s="12">
        <f t="shared" si="13"/>
        <v>0.214163359097556</v>
      </c>
      <c r="W115" s="17">
        <f>COUNTIFS(源数据[日期],源数据[[#This Row],[日期]],源数据[账号id],源数据[[#This Row],[账号id]])</f>
        <v>1</v>
      </c>
      <c r="X115" s="15">
        <f>IFERROR(源数据[[#This Row],[点击量]]/源数据[[#This Row],[展示量]],"")</f>
        <v>0.0737831627324003</v>
      </c>
      <c r="Y115" s="16">
        <f>IFERROR(源数据[[#This Row],[播放量]]/源数据[[#This Row],[展示量]],"")</f>
        <v>0.214163359097556</v>
      </c>
      <c r="Z115" s="16">
        <f>IFERROR(源数据[[#This Row],[三连投放总消耗(毫分)]]/源数据[[#This Row],[播放量]],"")</f>
        <v>0.0826685914943426</v>
      </c>
      <c r="AA11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16" s="2" customFormat="1" spans="1:27">
      <c r="A116" s="7">
        <v>46204</v>
      </c>
      <c r="B116" s="8" t="s">
        <v>326</v>
      </c>
      <c r="C116" s="8" t="s">
        <v>327</v>
      </c>
      <c r="D116" s="8" t="s">
        <v>91</v>
      </c>
      <c r="E116" s="8" t="s">
        <v>92</v>
      </c>
      <c r="F116" s="8" t="s">
        <v>96</v>
      </c>
      <c r="G116" s="9">
        <v>37469</v>
      </c>
      <c r="H116" s="9">
        <v>1892</v>
      </c>
      <c r="I116" s="10">
        <v>421.24653</v>
      </c>
      <c r="J116" s="11">
        <v>421.19</v>
      </c>
      <c r="K116" s="12">
        <f t="shared" si="7"/>
        <v>0.050495075929435</v>
      </c>
      <c r="L116" s="13">
        <f t="shared" si="8"/>
        <v>11.2425346286263</v>
      </c>
      <c r="M116" s="13">
        <f t="shared" si="9"/>
        <v>0.222646157505285</v>
      </c>
      <c r="N116" s="11">
        <v>0</v>
      </c>
      <c r="O116" s="11">
        <v>0</v>
      </c>
      <c r="P116" s="11">
        <v>441.53</v>
      </c>
      <c r="Q116" s="13">
        <f t="shared" si="10"/>
        <v>1.0481510672622</v>
      </c>
      <c r="R116" s="11">
        <v>441.53</v>
      </c>
      <c r="S116" s="13">
        <f t="shared" si="11"/>
        <v>1.0481510672622</v>
      </c>
      <c r="T116" s="9">
        <v>7225</v>
      </c>
      <c r="U116" s="13">
        <f t="shared" si="12"/>
        <v>17.1514765949526</v>
      </c>
      <c r="V116" s="12">
        <f t="shared" si="13"/>
        <v>0.192826069550829</v>
      </c>
      <c r="W116" s="17">
        <f>COUNTIFS(源数据[日期],源数据[[#This Row],[日期]],源数据[账号id],源数据[[#This Row],[账号id]])</f>
        <v>1</v>
      </c>
      <c r="X116" s="15">
        <f>IFERROR(源数据[[#This Row],[点击量]]/源数据[[#This Row],[展示量]],"")</f>
        <v>0.050495075929435</v>
      </c>
      <c r="Y116" s="16">
        <f>IFERROR(源数据[[#This Row],[播放量]]/源数据[[#This Row],[展示量]],"")</f>
        <v>0.192826069550829</v>
      </c>
      <c r="Z116" s="16">
        <f>IFERROR(源数据[[#This Row],[三连投放总消耗(毫分)]]/源数据[[#This Row],[播放量]],"")</f>
        <v>0.0583040179930796</v>
      </c>
      <c r="AA11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17" s="2" customFormat="1" spans="1:27">
      <c r="A117" s="7">
        <v>46204</v>
      </c>
      <c r="B117" s="8" t="s">
        <v>328</v>
      </c>
      <c r="C117" s="8" t="s">
        <v>329</v>
      </c>
      <c r="D117" s="8" t="s">
        <v>91</v>
      </c>
      <c r="E117" s="8" t="s">
        <v>92</v>
      </c>
      <c r="F117" s="8" t="s">
        <v>93</v>
      </c>
      <c r="G117" s="9">
        <v>31661</v>
      </c>
      <c r="H117" s="9">
        <v>1346</v>
      </c>
      <c r="I117" s="10">
        <v>409.88565</v>
      </c>
      <c r="J117" s="11">
        <v>409.83</v>
      </c>
      <c r="K117" s="12">
        <f t="shared" si="7"/>
        <v>0.0425128707242349</v>
      </c>
      <c r="L117" s="13">
        <f t="shared" si="8"/>
        <v>12.9460740343009</v>
      </c>
      <c r="M117" s="13">
        <f t="shared" si="9"/>
        <v>0.304521285289747</v>
      </c>
      <c r="N117" s="11">
        <v>0</v>
      </c>
      <c r="O117" s="11">
        <v>0</v>
      </c>
      <c r="P117" s="11">
        <v>396.21</v>
      </c>
      <c r="Q117" s="13">
        <f t="shared" si="10"/>
        <v>0.966635450643368</v>
      </c>
      <c r="R117" s="11">
        <v>396.21</v>
      </c>
      <c r="S117" s="13">
        <f t="shared" si="11"/>
        <v>0.966635450643368</v>
      </c>
      <c r="T117" s="9">
        <v>8524</v>
      </c>
      <c r="U117" s="13">
        <f t="shared" si="12"/>
        <v>20.7960439698243</v>
      </c>
      <c r="V117" s="12">
        <f t="shared" si="13"/>
        <v>0.269227124853921</v>
      </c>
      <c r="W117" s="17">
        <f>COUNTIFS(源数据[日期],源数据[[#This Row],[日期]],源数据[账号id],源数据[[#This Row],[账号id]])</f>
        <v>1</v>
      </c>
      <c r="X117" s="15">
        <f>IFERROR(源数据[[#This Row],[点击量]]/源数据[[#This Row],[展示量]],"")</f>
        <v>0.0425128707242349</v>
      </c>
      <c r="Y117" s="16">
        <f>IFERROR(源数据[[#This Row],[播放量]]/源数据[[#This Row],[展示量]],"")</f>
        <v>0.269227124853921</v>
      </c>
      <c r="Z117" s="16">
        <f>IFERROR(源数据[[#This Row],[三连投放总消耗(毫分)]]/源数据[[#This Row],[播放量]],"")</f>
        <v>0.0480860687470671</v>
      </c>
      <c r="AA11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18" s="2" customFormat="1" spans="1:27">
      <c r="A118" s="7">
        <v>46204</v>
      </c>
      <c r="B118" s="8" t="s">
        <v>330</v>
      </c>
      <c r="C118" s="8" t="s">
        <v>331</v>
      </c>
      <c r="D118" s="8" t="s">
        <v>91</v>
      </c>
      <c r="E118" s="8" t="s">
        <v>92</v>
      </c>
      <c r="F118" s="8" t="s">
        <v>115</v>
      </c>
      <c r="G118" s="9">
        <v>32861</v>
      </c>
      <c r="H118" s="9">
        <v>1760</v>
      </c>
      <c r="I118" s="10">
        <v>407.47697</v>
      </c>
      <c r="J118" s="11">
        <v>407.4</v>
      </c>
      <c r="K118" s="12">
        <f t="shared" si="7"/>
        <v>0.0535589300386476</v>
      </c>
      <c r="L118" s="13">
        <f t="shared" si="8"/>
        <v>12.4000173457898</v>
      </c>
      <c r="M118" s="13">
        <f t="shared" si="9"/>
        <v>0.231521005681818</v>
      </c>
      <c r="N118" s="11">
        <v>0</v>
      </c>
      <c r="O118" s="11">
        <v>0</v>
      </c>
      <c r="P118" s="11">
        <v>408.23</v>
      </c>
      <c r="Q118" s="13">
        <f t="shared" si="10"/>
        <v>1.00184803082245</v>
      </c>
      <c r="R118" s="11">
        <v>408.23</v>
      </c>
      <c r="S118" s="13">
        <f t="shared" si="11"/>
        <v>1.00184803082245</v>
      </c>
      <c r="T118" s="9">
        <v>6944</v>
      </c>
      <c r="U118" s="13">
        <f t="shared" si="12"/>
        <v>17.0414539010634</v>
      </c>
      <c r="V118" s="12">
        <f t="shared" si="13"/>
        <v>0.211314323970664</v>
      </c>
      <c r="W118" s="17">
        <f>COUNTIFS(源数据[日期],源数据[[#This Row],[日期]],源数据[账号id],源数据[[#This Row],[账号id]])</f>
        <v>1</v>
      </c>
      <c r="X118" s="15">
        <f>IFERROR(源数据[[#This Row],[点击量]]/源数据[[#This Row],[展示量]],"")</f>
        <v>0.0535589300386476</v>
      </c>
      <c r="Y118" s="16">
        <f>IFERROR(源数据[[#This Row],[播放量]]/源数据[[#This Row],[展示量]],"")</f>
        <v>0.211314323970664</v>
      </c>
      <c r="Z118" s="16">
        <f>IFERROR(源数据[[#This Row],[三连投放总消耗(毫分)]]/源数据[[#This Row],[播放量]],"")</f>
        <v>0.0586804392281106</v>
      </c>
      <c r="AA11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19" s="2" customFormat="1" spans="1:27">
      <c r="A119" s="7">
        <v>46204</v>
      </c>
      <c r="B119" s="8" t="s">
        <v>332</v>
      </c>
      <c r="C119" s="8" t="s">
        <v>333</v>
      </c>
      <c r="D119" s="8" t="s">
        <v>91</v>
      </c>
      <c r="E119" s="8" t="s">
        <v>92</v>
      </c>
      <c r="F119" s="8" t="s">
        <v>96</v>
      </c>
      <c r="G119" s="9">
        <v>48231</v>
      </c>
      <c r="H119" s="9">
        <v>2606</v>
      </c>
      <c r="I119" s="10">
        <v>406.99323</v>
      </c>
      <c r="J119" s="11">
        <v>406.84</v>
      </c>
      <c r="K119" s="12">
        <f t="shared" si="7"/>
        <v>0.0540316394020443</v>
      </c>
      <c r="L119" s="13">
        <f t="shared" si="8"/>
        <v>8.43841574920694</v>
      </c>
      <c r="M119" s="13">
        <f t="shared" si="9"/>
        <v>0.156175452801228</v>
      </c>
      <c r="N119" s="11">
        <v>0</v>
      </c>
      <c r="O119" s="11">
        <v>0</v>
      </c>
      <c r="P119" s="11">
        <v>430.57</v>
      </c>
      <c r="Q119" s="13">
        <f t="shared" si="10"/>
        <v>1.05792914540618</v>
      </c>
      <c r="R119" s="11">
        <v>430.57</v>
      </c>
      <c r="S119" s="13">
        <f t="shared" si="11"/>
        <v>1.05792914540618</v>
      </c>
      <c r="T119" s="9">
        <v>8079</v>
      </c>
      <c r="U119" s="13">
        <f t="shared" si="12"/>
        <v>19.8504530407054</v>
      </c>
      <c r="V119" s="12">
        <f t="shared" si="13"/>
        <v>0.167506375567581</v>
      </c>
      <c r="W119" s="17">
        <f>COUNTIFS(源数据[日期],源数据[[#This Row],[日期]],源数据[账号id],源数据[[#This Row],[账号id]])</f>
        <v>1</v>
      </c>
      <c r="X119" s="15">
        <f>IFERROR(源数据[[#This Row],[点击量]]/源数据[[#This Row],[展示量]],"")</f>
        <v>0.0540316394020443</v>
      </c>
      <c r="Y119" s="16">
        <f>IFERROR(源数据[[#This Row],[播放量]]/源数据[[#This Row],[展示量]],"")</f>
        <v>0.167506375567581</v>
      </c>
      <c r="Z119" s="16">
        <f>IFERROR(源数据[[#This Row],[三连投放总消耗(毫分)]]/源数据[[#This Row],[播放量]],"")</f>
        <v>0.050376683995544</v>
      </c>
      <c r="AA11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20" s="2" customFormat="1" spans="1:27">
      <c r="A120" s="7">
        <v>46204</v>
      </c>
      <c r="B120" s="8" t="s">
        <v>334</v>
      </c>
      <c r="C120" s="8" t="s">
        <v>335</v>
      </c>
      <c r="D120" s="8" t="s">
        <v>91</v>
      </c>
      <c r="E120" s="8" t="s">
        <v>92</v>
      </c>
      <c r="F120" s="8" t="s">
        <v>115</v>
      </c>
      <c r="G120" s="9">
        <v>32426</v>
      </c>
      <c r="H120" s="9">
        <v>1286</v>
      </c>
      <c r="I120" s="10">
        <v>389.0271</v>
      </c>
      <c r="J120" s="11">
        <v>388.98</v>
      </c>
      <c r="K120" s="12">
        <f t="shared" si="7"/>
        <v>0.0396595324739407</v>
      </c>
      <c r="L120" s="13">
        <f t="shared" si="8"/>
        <v>11.9973817307099</v>
      </c>
      <c r="M120" s="13">
        <f t="shared" si="9"/>
        <v>0.302509409020218</v>
      </c>
      <c r="N120" s="11">
        <v>0</v>
      </c>
      <c r="O120" s="11">
        <v>0</v>
      </c>
      <c r="P120" s="11">
        <v>379.57</v>
      </c>
      <c r="Q120" s="13">
        <f t="shared" si="10"/>
        <v>0.975690382495204</v>
      </c>
      <c r="R120" s="11">
        <v>379.57</v>
      </c>
      <c r="S120" s="13">
        <f t="shared" si="11"/>
        <v>0.975690382495204</v>
      </c>
      <c r="T120" s="9">
        <v>7970</v>
      </c>
      <c r="U120" s="13">
        <f t="shared" si="12"/>
        <v>20.4870046328392</v>
      </c>
      <c r="V120" s="12">
        <f t="shared" si="13"/>
        <v>0.245790415098995</v>
      </c>
      <c r="W120" s="17">
        <f>COUNTIFS(源数据[日期],源数据[[#This Row],[日期]],源数据[账号id],源数据[[#This Row],[账号id]])</f>
        <v>1</v>
      </c>
      <c r="X120" s="15">
        <f>IFERROR(源数据[[#This Row],[点击量]]/源数据[[#This Row],[展示量]],"")</f>
        <v>0.0396595324739407</v>
      </c>
      <c r="Y120" s="16">
        <f>IFERROR(源数据[[#This Row],[播放量]]/源数据[[#This Row],[展示量]],"")</f>
        <v>0.245790415098995</v>
      </c>
      <c r="Z120" s="16">
        <f>IFERROR(源数据[[#This Row],[三连投放总消耗(毫分)]]/源数据[[#This Row],[播放量]],"")</f>
        <v>0.0488114303638645</v>
      </c>
      <c r="AA12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21" s="2" customFormat="1" spans="1:27">
      <c r="A121" s="7">
        <v>46204</v>
      </c>
      <c r="B121" s="8" t="s">
        <v>336</v>
      </c>
      <c r="C121" s="8" t="s">
        <v>337</v>
      </c>
      <c r="D121" s="8" t="s">
        <v>91</v>
      </c>
      <c r="E121" s="8" t="s">
        <v>92</v>
      </c>
      <c r="F121" s="8" t="s">
        <v>110</v>
      </c>
      <c r="G121" s="9">
        <v>56691</v>
      </c>
      <c r="H121" s="9">
        <v>4258</v>
      </c>
      <c r="I121" s="10">
        <v>388.35091</v>
      </c>
      <c r="J121" s="11">
        <v>388.27</v>
      </c>
      <c r="K121" s="12">
        <f t="shared" si="7"/>
        <v>0.0751089238150676</v>
      </c>
      <c r="L121" s="13">
        <f t="shared" si="8"/>
        <v>6.85030974934293</v>
      </c>
      <c r="M121" s="13">
        <f t="shared" si="9"/>
        <v>0.0912050046970409</v>
      </c>
      <c r="N121" s="11">
        <v>96.04</v>
      </c>
      <c r="O121" s="11">
        <v>96.04</v>
      </c>
      <c r="P121" s="11">
        <v>256.33</v>
      </c>
      <c r="Q121" s="13">
        <f t="shared" si="10"/>
        <v>0.660047378284758</v>
      </c>
      <c r="R121" s="11">
        <v>352.36</v>
      </c>
      <c r="S121" s="13">
        <f t="shared" si="11"/>
        <v>0.907323739758972</v>
      </c>
      <c r="T121" s="9">
        <v>7047</v>
      </c>
      <c r="U121" s="13">
        <f t="shared" si="12"/>
        <v>18.14595979703</v>
      </c>
      <c r="V121" s="12">
        <f t="shared" si="13"/>
        <v>0.124305445308779</v>
      </c>
      <c r="W121" s="17">
        <f>COUNTIFS(源数据[日期],源数据[[#This Row],[日期]],源数据[账号id],源数据[[#This Row],[账号id]])</f>
        <v>1</v>
      </c>
      <c r="X121" s="15">
        <f>IFERROR(源数据[[#This Row],[点击量]]/源数据[[#This Row],[展示量]],"")</f>
        <v>0.0751089238150676</v>
      </c>
      <c r="Y121" s="16">
        <f>IFERROR(源数据[[#This Row],[播放量]]/源数据[[#This Row],[展示量]],"")</f>
        <v>0.124305445308779</v>
      </c>
      <c r="Z121" s="16">
        <f>IFERROR(源数据[[#This Row],[三连投放总消耗(毫分)]]/源数据[[#This Row],[播放量]],"")</f>
        <v>0.0551086859656591</v>
      </c>
      <c r="AA12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22" s="2" customFormat="1" spans="1:27">
      <c r="A122" s="7">
        <v>46204</v>
      </c>
      <c r="B122" s="8" t="s">
        <v>338</v>
      </c>
      <c r="C122" s="8" t="s">
        <v>339</v>
      </c>
      <c r="D122" s="8" t="s">
        <v>91</v>
      </c>
      <c r="E122" s="8" t="s">
        <v>92</v>
      </c>
      <c r="F122" s="8" t="s">
        <v>115</v>
      </c>
      <c r="G122" s="9">
        <v>43139</v>
      </c>
      <c r="H122" s="9">
        <v>2038</v>
      </c>
      <c r="I122" s="10">
        <v>388.05928</v>
      </c>
      <c r="J122" s="11">
        <v>387.98</v>
      </c>
      <c r="K122" s="12">
        <f t="shared" si="7"/>
        <v>0.0472426342752498</v>
      </c>
      <c r="L122" s="13">
        <f t="shared" si="8"/>
        <v>8.99555576160783</v>
      </c>
      <c r="M122" s="13">
        <f t="shared" si="9"/>
        <v>0.190411815505397</v>
      </c>
      <c r="N122" s="11">
        <v>0</v>
      </c>
      <c r="O122" s="11">
        <v>0</v>
      </c>
      <c r="P122" s="11">
        <v>424.08</v>
      </c>
      <c r="Q122" s="13">
        <f t="shared" si="10"/>
        <v>1.09282272543514</v>
      </c>
      <c r="R122" s="11">
        <v>424.08</v>
      </c>
      <c r="S122" s="13">
        <f t="shared" si="11"/>
        <v>1.09282272543514</v>
      </c>
      <c r="T122" s="9">
        <v>10574</v>
      </c>
      <c r="U122" s="13">
        <f t="shared" si="12"/>
        <v>27.2484142113545</v>
      </c>
      <c r="V122" s="12">
        <f t="shared" si="13"/>
        <v>0.245114629453627</v>
      </c>
      <c r="W122" s="17">
        <f>COUNTIFS(源数据[日期],源数据[[#This Row],[日期]],源数据[账号id],源数据[[#This Row],[账号id]])</f>
        <v>1</v>
      </c>
      <c r="X122" s="15">
        <f>IFERROR(源数据[[#This Row],[点击量]]/源数据[[#This Row],[展示量]],"")</f>
        <v>0.0472426342752498</v>
      </c>
      <c r="Y122" s="16">
        <f>IFERROR(源数据[[#This Row],[播放量]]/源数据[[#This Row],[展示量]],"")</f>
        <v>0.245114629453627</v>
      </c>
      <c r="Z122" s="16">
        <f>IFERROR(源数据[[#This Row],[三连投放总消耗(毫分)]]/源数据[[#This Row],[播放量]],"")</f>
        <v>0.0366993833932287</v>
      </c>
      <c r="AA12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23" s="2" customFormat="1" spans="1:27">
      <c r="A123" s="7">
        <v>46204</v>
      </c>
      <c r="B123" s="8" t="s">
        <v>340</v>
      </c>
      <c r="C123" s="8" t="s">
        <v>341</v>
      </c>
      <c r="D123" s="8" t="s">
        <v>91</v>
      </c>
      <c r="E123" s="8" t="s">
        <v>92</v>
      </c>
      <c r="F123" s="8" t="s">
        <v>101</v>
      </c>
      <c r="G123" s="9">
        <v>105026</v>
      </c>
      <c r="H123" s="9">
        <v>4940</v>
      </c>
      <c r="I123" s="10">
        <v>383.54844</v>
      </c>
      <c r="J123" s="11">
        <v>383.45</v>
      </c>
      <c r="K123" s="12">
        <f t="shared" si="7"/>
        <v>0.0470359720450174</v>
      </c>
      <c r="L123" s="13">
        <f t="shared" si="8"/>
        <v>3.65193799630568</v>
      </c>
      <c r="M123" s="13">
        <f t="shared" si="9"/>
        <v>0.0776413846153846</v>
      </c>
      <c r="N123" s="11">
        <v>0</v>
      </c>
      <c r="O123" s="11">
        <v>0</v>
      </c>
      <c r="P123" s="11">
        <v>315.83</v>
      </c>
      <c r="Q123" s="13">
        <f t="shared" si="10"/>
        <v>0.823442274983572</v>
      </c>
      <c r="R123" s="11">
        <v>315.83</v>
      </c>
      <c r="S123" s="13">
        <f t="shared" si="11"/>
        <v>0.823442274983572</v>
      </c>
      <c r="T123" s="9">
        <v>0</v>
      </c>
      <c r="U123" s="13">
        <f t="shared" si="12"/>
        <v>0</v>
      </c>
      <c r="V123" s="12">
        <f t="shared" si="13"/>
        <v>0</v>
      </c>
      <c r="W123" s="17">
        <f>COUNTIFS(源数据[日期],源数据[[#This Row],[日期]],源数据[账号id],源数据[[#This Row],[账号id]])</f>
        <v>1</v>
      </c>
      <c r="X123" s="15">
        <f>IFERROR(源数据[[#This Row],[点击量]]/源数据[[#This Row],[展示量]],"")</f>
        <v>0.0470359720450174</v>
      </c>
      <c r="Y123" s="16">
        <f>IFERROR(源数据[[#This Row],[播放量]]/源数据[[#This Row],[展示量]],"")</f>
        <v>0</v>
      </c>
      <c r="Z123" s="16" t="str">
        <f>IFERROR(源数据[[#This Row],[三连投放总消耗(毫分)]]/源数据[[#This Row],[播放量]],"")</f>
        <v/>
      </c>
      <c r="AA12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24" s="2" customFormat="1" spans="1:27">
      <c r="A124" s="7">
        <v>46204</v>
      </c>
      <c r="B124" s="8" t="s">
        <v>342</v>
      </c>
      <c r="C124" s="8" t="s">
        <v>343</v>
      </c>
      <c r="D124" s="8" t="s">
        <v>91</v>
      </c>
      <c r="E124" s="8" t="s">
        <v>92</v>
      </c>
      <c r="F124" s="8" t="s">
        <v>93</v>
      </c>
      <c r="G124" s="9">
        <v>36974</v>
      </c>
      <c r="H124" s="9">
        <v>2386</v>
      </c>
      <c r="I124" s="10">
        <v>382.22605</v>
      </c>
      <c r="J124" s="11">
        <v>382.09</v>
      </c>
      <c r="K124" s="12">
        <f t="shared" si="7"/>
        <v>0.0645318331800725</v>
      </c>
      <c r="L124" s="13">
        <f t="shared" si="8"/>
        <v>10.3376981121869</v>
      </c>
      <c r="M124" s="13">
        <f t="shared" si="9"/>
        <v>0.160195326906957</v>
      </c>
      <c r="N124" s="11">
        <v>0</v>
      </c>
      <c r="O124" s="11">
        <v>0</v>
      </c>
      <c r="P124" s="11">
        <v>402.6</v>
      </c>
      <c r="Q124" s="13">
        <f t="shared" si="10"/>
        <v>1.05330340514468</v>
      </c>
      <c r="R124" s="11">
        <v>402.6</v>
      </c>
      <c r="S124" s="13">
        <f t="shared" si="11"/>
        <v>1.05330340514468</v>
      </c>
      <c r="T124" s="9">
        <v>7583</v>
      </c>
      <c r="U124" s="13">
        <f t="shared" si="12"/>
        <v>19.8390455072332</v>
      </c>
      <c r="V124" s="12">
        <f t="shared" si="13"/>
        <v>0.205090063287716</v>
      </c>
      <c r="W124" s="17">
        <f>COUNTIFS(源数据[日期],源数据[[#This Row],[日期]],源数据[账号id],源数据[[#This Row],[账号id]])</f>
        <v>1</v>
      </c>
      <c r="X124" s="15">
        <f>IFERROR(源数据[[#This Row],[点击量]]/源数据[[#This Row],[展示量]],"")</f>
        <v>0.0645318331800725</v>
      </c>
      <c r="Y124" s="16">
        <f>IFERROR(源数据[[#This Row],[播放量]]/源数据[[#This Row],[展示量]],"")</f>
        <v>0.205090063287716</v>
      </c>
      <c r="Z124" s="16">
        <f>IFERROR(源数据[[#This Row],[三连投放总消耗(毫分)]]/源数据[[#This Row],[播放量]],"")</f>
        <v>0.0504056507978373</v>
      </c>
      <c r="AA12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25" s="2" customFormat="1" spans="1:27">
      <c r="A125" s="7">
        <v>46204</v>
      </c>
      <c r="B125" s="8" t="s">
        <v>344</v>
      </c>
      <c r="C125" s="8" t="s">
        <v>345</v>
      </c>
      <c r="D125" s="8" t="s">
        <v>91</v>
      </c>
      <c r="E125" s="8" t="s">
        <v>92</v>
      </c>
      <c r="F125" s="8" t="s">
        <v>96</v>
      </c>
      <c r="G125" s="9">
        <v>44877</v>
      </c>
      <c r="H125" s="9">
        <v>1689</v>
      </c>
      <c r="I125" s="10">
        <v>382.16421</v>
      </c>
      <c r="J125" s="11">
        <v>382.06</v>
      </c>
      <c r="K125" s="12">
        <f t="shared" si="7"/>
        <v>0.0376362056287185</v>
      </c>
      <c r="L125" s="13">
        <f t="shared" si="8"/>
        <v>8.51581455979678</v>
      </c>
      <c r="M125" s="13">
        <f t="shared" si="9"/>
        <v>0.226266554174068</v>
      </c>
      <c r="N125" s="11">
        <v>0</v>
      </c>
      <c r="O125" s="11">
        <v>0</v>
      </c>
      <c r="P125" s="11">
        <v>389.45</v>
      </c>
      <c r="Q125" s="13">
        <f t="shared" si="10"/>
        <v>1.01906455342849</v>
      </c>
      <c r="R125" s="11">
        <v>389.45</v>
      </c>
      <c r="S125" s="13">
        <f t="shared" si="11"/>
        <v>1.01906455342849</v>
      </c>
      <c r="T125" s="9">
        <v>7220</v>
      </c>
      <c r="U125" s="13">
        <f t="shared" si="12"/>
        <v>18.8924023000479</v>
      </c>
      <c r="V125" s="12">
        <f t="shared" si="13"/>
        <v>0.160884194576286</v>
      </c>
      <c r="W125" s="17">
        <f>COUNTIFS(源数据[日期],源数据[[#This Row],[日期]],源数据[账号id],源数据[[#This Row],[账号id]])</f>
        <v>1</v>
      </c>
      <c r="X125" s="15">
        <f>IFERROR(源数据[[#This Row],[点击量]]/源数据[[#This Row],[展示量]],"")</f>
        <v>0.0376362056287185</v>
      </c>
      <c r="Y125" s="16">
        <f>IFERROR(源数据[[#This Row],[播放量]]/源数据[[#This Row],[展示量]],"")</f>
        <v>0.160884194576286</v>
      </c>
      <c r="Z125" s="16">
        <f>IFERROR(源数据[[#This Row],[三连投放总消耗(毫分)]]/源数据[[#This Row],[播放量]],"")</f>
        <v>0.0529313310249308</v>
      </c>
      <c r="AA12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26" s="2" customFormat="1" spans="1:27">
      <c r="A126" s="7">
        <v>46204</v>
      </c>
      <c r="B126" s="8" t="s">
        <v>346</v>
      </c>
      <c r="C126" s="8" t="s">
        <v>347</v>
      </c>
      <c r="D126" s="8" t="s">
        <v>91</v>
      </c>
      <c r="E126" s="8" t="s">
        <v>92</v>
      </c>
      <c r="F126" s="8" t="s">
        <v>93</v>
      </c>
      <c r="G126" s="9">
        <v>29639</v>
      </c>
      <c r="H126" s="9">
        <v>1700</v>
      </c>
      <c r="I126" s="10">
        <v>381.10115</v>
      </c>
      <c r="J126" s="11">
        <v>381.01</v>
      </c>
      <c r="K126" s="12">
        <f t="shared" si="7"/>
        <v>0.0573568608927427</v>
      </c>
      <c r="L126" s="13">
        <f t="shared" si="8"/>
        <v>12.8580974391849</v>
      </c>
      <c r="M126" s="13">
        <f t="shared" si="9"/>
        <v>0.224177147058824</v>
      </c>
      <c r="N126" s="11">
        <v>0</v>
      </c>
      <c r="O126" s="11">
        <v>0</v>
      </c>
      <c r="P126" s="11">
        <v>396.11</v>
      </c>
      <c r="Q126" s="13">
        <f t="shared" si="10"/>
        <v>1.03938285150806</v>
      </c>
      <c r="R126" s="11">
        <v>396.11</v>
      </c>
      <c r="S126" s="13">
        <f t="shared" si="11"/>
        <v>1.03938285150806</v>
      </c>
      <c r="T126" s="9">
        <v>5916</v>
      </c>
      <c r="U126" s="13">
        <f t="shared" si="12"/>
        <v>15.5234378064721</v>
      </c>
      <c r="V126" s="12">
        <f t="shared" si="13"/>
        <v>0.199601875906744</v>
      </c>
      <c r="W126" s="17">
        <f>COUNTIFS(源数据[日期],源数据[[#This Row],[日期]],源数据[账号id],源数据[[#This Row],[账号id]])</f>
        <v>1</v>
      </c>
      <c r="X126" s="15">
        <f>IFERROR(源数据[[#This Row],[点击量]]/源数据[[#This Row],[展示量]],"")</f>
        <v>0.0573568608927427</v>
      </c>
      <c r="Y126" s="16">
        <f>IFERROR(源数据[[#This Row],[播放量]]/源数据[[#This Row],[展示量]],"")</f>
        <v>0.199601875906744</v>
      </c>
      <c r="Z126" s="16">
        <f>IFERROR(源数据[[#This Row],[三连投放总消耗(毫分)]]/源数据[[#This Row],[播放量]],"")</f>
        <v>0.0644187204192022</v>
      </c>
      <c r="AA12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27" s="2" customFormat="1" spans="1:27">
      <c r="A127" s="7">
        <v>46204</v>
      </c>
      <c r="B127" s="8" t="s">
        <v>348</v>
      </c>
      <c r="C127" s="8" t="s">
        <v>349</v>
      </c>
      <c r="D127" s="8" t="s">
        <v>91</v>
      </c>
      <c r="E127" s="8" t="s">
        <v>92</v>
      </c>
      <c r="F127" s="8" t="s">
        <v>96</v>
      </c>
      <c r="G127" s="9">
        <v>299849</v>
      </c>
      <c r="H127" s="9">
        <v>3309</v>
      </c>
      <c r="I127" s="10">
        <v>379.25314</v>
      </c>
      <c r="J127" s="11">
        <v>379.15</v>
      </c>
      <c r="K127" s="12">
        <f t="shared" si="7"/>
        <v>0.0110355545624631</v>
      </c>
      <c r="L127" s="13">
        <f t="shared" si="8"/>
        <v>1.26481375625732</v>
      </c>
      <c r="M127" s="13">
        <f t="shared" si="9"/>
        <v>0.114612614082804</v>
      </c>
      <c r="N127" s="11">
        <v>0</v>
      </c>
      <c r="O127" s="11">
        <v>0</v>
      </c>
      <c r="P127" s="11">
        <v>414.03</v>
      </c>
      <c r="Q127" s="13">
        <f t="shared" si="10"/>
        <v>1.09169827835835</v>
      </c>
      <c r="R127" s="11">
        <v>414.03</v>
      </c>
      <c r="S127" s="13">
        <f t="shared" si="11"/>
        <v>1.09169827835835</v>
      </c>
      <c r="T127" s="9">
        <v>7161</v>
      </c>
      <c r="U127" s="13">
        <f t="shared" si="12"/>
        <v>18.881847622936</v>
      </c>
      <c r="V127" s="12">
        <f t="shared" si="13"/>
        <v>0.0238820206170439</v>
      </c>
      <c r="W127" s="17">
        <f>COUNTIFS(源数据[日期],源数据[[#This Row],[日期]],源数据[账号id],源数据[[#This Row],[账号id]])</f>
        <v>1</v>
      </c>
      <c r="X127" s="15">
        <f>IFERROR(源数据[[#This Row],[点击量]]/源数据[[#This Row],[展示量]],"")</f>
        <v>0.0110355545624631</v>
      </c>
      <c r="Y127" s="16">
        <f>IFERROR(源数据[[#This Row],[播放量]]/源数据[[#This Row],[展示量]],"")</f>
        <v>0.0238820206170439</v>
      </c>
      <c r="Z127" s="16">
        <f>IFERROR(源数据[[#This Row],[三连投放总消耗(毫分)]]/源数据[[#This Row],[播放量]],"")</f>
        <v>0.0529609188660802</v>
      </c>
      <c r="AA12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28" s="2" customFormat="1" spans="1:27">
      <c r="A128" s="7">
        <v>46204</v>
      </c>
      <c r="B128" s="8" t="s">
        <v>350</v>
      </c>
      <c r="C128" s="8" t="s">
        <v>351</v>
      </c>
      <c r="D128" s="8" t="s">
        <v>91</v>
      </c>
      <c r="E128" s="8" t="s">
        <v>92</v>
      </c>
      <c r="F128" s="8" t="s">
        <v>115</v>
      </c>
      <c r="G128" s="9">
        <v>39135</v>
      </c>
      <c r="H128" s="9">
        <v>1803</v>
      </c>
      <c r="I128" s="10">
        <v>378.24487</v>
      </c>
      <c r="J128" s="11">
        <v>378.14</v>
      </c>
      <c r="K128" s="12">
        <f t="shared" si="7"/>
        <v>0.046071291682637</v>
      </c>
      <c r="L128" s="13">
        <f t="shared" si="8"/>
        <v>9.66513019036668</v>
      </c>
      <c r="M128" s="13">
        <f t="shared" si="9"/>
        <v>0.209786394897393</v>
      </c>
      <c r="N128" s="11">
        <v>0</v>
      </c>
      <c r="O128" s="11">
        <v>0</v>
      </c>
      <c r="P128" s="11">
        <v>410.41</v>
      </c>
      <c r="Q128" s="13">
        <f t="shared" si="10"/>
        <v>1.08503784862965</v>
      </c>
      <c r="R128" s="11">
        <v>410.41</v>
      </c>
      <c r="S128" s="13">
        <f t="shared" si="11"/>
        <v>1.08503784862965</v>
      </c>
      <c r="T128" s="9">
        <v>11910</v>
      </c>
      <c r="U128" s="13">
        <f t="shared" si="12"/>
        <v>31.4875387470556</v>
      </c>
      <c r="V128" s="12">
        <f t="shared" si="13"/>
        <v>0.304331161364507</v>
      </c>
      <c r="W128" s="17">
        <f>COUNTIFS(源数据[日期],源数据[[#This Row],[日期]],源数据[账号id],源数据[[#This Row],[账号id]])</f>
        <v>1</v>
      </c>
      <c r="X128" s="15">
        <f>IFERROR(源数据[[#This Row],[点击量]]/源数据[[#This Row],[展示量]],"")</f>
        <v>0.046071291682637</v>
      </c>
      <c r="Y128" s="16">
        <f>IFERROR(源数据[[#This Row],[播放量]]/源数据[[#This Row],[展示量]],"")</f>
        <v>0.304331161364507</v>
      </c>
      <c r="Z128" s="16">
        <f>IFERROR(源数据[[#This Row],[三连投放总消耗(毫分)]]/源数据[[#This Row],[播放量]],"")</f>
        <v>0.0317585952980688</v>
      </c>
      <c r="AA12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29" s="2" customFormat="1" spans="1:27">
      <c r="A129" s="7">
        <v>46204</v>
      </c>
      <c r="B129" s="8" t="s">
        <v>352</v>
      </c>
      <c r="C129" s="8" t="s">
        <v>353</v>
      </c>
      <c r="D129" s="8" t="s">
        <v>91</v>
      </c>
      <c r="E129" s="8" t="s">
        <v>92</v>
      </c>
      <c r="F129" s="8" t="s">
        <v>115</v>
      </c>
      <c r="G129" s="9">
        <v>18119</v>
      </c>
      <c r="H129" s="9">
        <v>1100</v>
      </c>
      <c r="I129" s="10">
        <v>375.5523</v>
      </c>
      <c r="J129" s="11">
        <v>375.42</v>
      </c>
      <c r="K129" s="12">
        <f t="shared" si="7"/>
        <v>0.0607097521938297</v>
      </c>
      <c r="L129" s="13">
        <f t="shared" si="8"/>
        <v>20.7269882443843</v>
      </c>
      <c r="M129" s="13">
        <f t="shared" si="9"/>
        <v>0.341411181818182</v>
      </c>
      <c r="N129" s="11">
        <v>0</v>
      </c>
      <c r="O129" s="11">
        <v>0</v>
      </c>
      <c r="P129" s="11">
        <v>357.46</v>
      </c>
      <c r="Q129" s="13">
        <f t="shared" si="10"/>
        <v>0.951824819073136</v>
      </c>
      <c r="R129" s="11">
        <v>357.46</v>
      </c>
      <c r="S129" s="13">
        <f t="shared" si="11"/>
        <v>0.951824819073136</v>
      </c>
      <c r="T129" s="9">
        <v>3904</v>
      </c>
      <c r="U129" s="13">
        <f t="shared" si="12"/>
        <v>10.3953563857817</v>
      </c>
      <c r="V129" s="12">
        <f t="shared" si="13"/>
        <v>0.215464429604283</v>
      </c>
      <c r="W129" s="17">
        <f>COUNTIFS(源数据[日期],源数据[[#This Row],[日期]],源数据[账号id],源数据[[#This Row],[账号id]])</f>
        <v>1</v>
      </c>
      <c r="X129" s="15">
        <f>IFERROR(源数据[[#This Row],[点击量]]/源数据[[#This Row],[展示量]],"")</f>
        <v>0.0607097521938297</v>
      </c>
      <c r="Y129" s="16">
        <f>IFERROR(源数据[[#This Row],[播放量]]/源数据[[#This Row],[展示量]],"")</f>
        <v>0.215464429604283</v>
      </c>
      <c r="Z129" s="16">
        <f>IFERROR(源数据[[#This Row],[三连投放总消耗(毫分)]]/源数据[[#This Row],[播放量]],"")</f>
        <v>0.0961967981557377</v>
      </c>
      <c r="AA12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30" s="2" customFormat="1" spans="1:27">
      <c r="A130" s="7">
        <v>46204</v>
      </c>
      <c r="B130" s="8" t="s">
        <v>354</v>
      </c>
      <c r="C130" s="8" t="s">
        <v>355</v>
      </c>
      <c r="D130" s="8" t="s">
        <v>91</v>
      </c>
      <c r="E130" s="8" t="s">
        <v>92</v>
      </c>
      <c r="F130" s="8" t="s">
        <v>96</v>
      </c>
      <c r="G130" s="9">
        <v>41857</v>
      </c>
      <c r="H130" s="9">
        <v>555</v>
      </c>
      <c r="I130" s="10">
        <v>367.70458</v>
      </c>
      <c r="J130" s="11">
        <v>367.61</v>
      </c>
      <c r="K130" s="12">
        <f t="shared" ref="K130:K193" si="14">IF(G130=0,0,H130/G130)</f>
        <v>0.0132594309195595</v>
      </c>
      <c r="L130" s="13">
        <f t="shared" ref="L130:L193" si="15">IF(G130=0,0,I130/G130*1000)</f>
        <v>8.78478104020833</v>
      </c>
      <c r="M130" s="13">
        <f t="shared" ref="M130:M193" si="16">IF(H130=0,0,I130/H130)</f>
        <v>0.662530774774775</v>
      </c>
      <c r="N130" s="11">
        <v>0</v>
      </c>
      <c r="O130" s="11">
        <v>0</v>
      </c>
      <c r="P130" s="11">
        <v>404.88</v>
      </c>
      <c r="Q130" s="13">
        <f t="shared" ref="Q130:Q193" si="17">IF(I130=0,0,P130/I130)</f>
        <v>1.10110132432944</v>
      </c>
      <c r="R130" s="11">
        <v>404.88</v>
      </c>
      <c r="S130" s="13">
        <f t="shared" ref="S130:S193" si="18">IF(I130=0,0,R130/I130)</f>
        <v>1.10110132432944</v>
      </c>
      <c r="T130" s="9">
        <v>8416</v>
      </c>
      <c r="U130" s="13">
        <f t="shared" ref="U130:U193" si="19">IF(I130=0,0,T130/I130)</f>
        <v>22.8879390079939</v>
      </c>
      <c r="V130" s="12">
        <f t="shared" ref="V130:V193" si="20">IF(G130=0,0,T130/G130)</f>
        <v>0.201065532646869</v>
      </c>
      <c r="W130" s="17">
        <f>COUNTIFS(源数据[日期],源数据[[#This Row],[日期]],源数据[账号id],源数据[[#This Row],[账号id]])</f>
        <v>1</v>
      </c>
      <c r="X130" s="15">
        <f>IFERROR(源数据[[#This Row],[点击量]]/源数据[[#This Row],[展示量]],"")</f>
        <v>0.0132594309195595</v>
      </c>
      <c r="Y130" s="16">
        <f>IFERROR(源数据[[#This Row],[播放量]]/源数据[[#This Row],[展示量]],"")</f>
        <v>0.201065532646869</v>
      </c>
      <c r="Z130" s="16">
        <f>IFERROR(源数据[[#This Row],[三连投放总消耗(毫分)]]/源数据[[#This Row],[播放量]],"")</f>
        <v>0.0436911335551331</v>
      </c>
      <c r="AA13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31" s="2" customFormat="1" spans="1:27">
      <c r="A131" s="7">
        <v>46204</v>
      </c>
      <c r="B131" s="8" t="s">
        <v>356</v>
      </c>
      <c r="C131" s="8" t="s">
        <v>357</v>
      </c>
      <c r="D131" s="8" t="s">
        <v>91</v>
      </c>
      <c r="E131" s="8" t="s">
        <v>92</v>
      </c>
      <c r="F131" s="8" t="s">
        <v>93</v>
      </c>
      <c r="G131" s="9">
        <v>30993</v>
      </c>
      <c r="H131" s="9">
        <v>1691</v>
      </c>
      <c r="I131" s="10">
        <v>361.37452</v>
      </c>
      <c r="J131" s="11">
        <v>361.28</v>
      </c>
      <c r="K131" s="12">
        <f t="shared" si="14"/>
        <v>0.0545607072564773</v>
      </c>
      <c r="L131" s="13">
        <f t="shared" si="15"/>
        <v>11.6598754557481</v>
      </c>
      <c r="M131" s="13">
        <f t="shared" si="16"/>
        <v>0.213704624482555</v>
      </c>
      <c r="N131" s="11">
        <v>0</v>
      </c>
      <c r="O131" s="11">
        <v>0</v>
      </c>
      <c r="P131" s="11">
        <v>385.38</v>
      </c>
      <c r="Q131" s="13">
        <f t="shared" si="17"/>
        <v>1.06642825841733</v>
      </c>
      <c r="R131" s="11">
        <v>385.38</v>
      </c>
      <c r="S131" s="13">
        <f t="shared" si="18"/>
        <v>1.06642825841733</v>
      </c>
      <c r="T131" s="9">
        <v>6233</v>
      </c>
      <c r="U131" s="13">
        <f t="shared" si="19"/>
        <v>17.24803397871</v>
      </c>
      <c r="V131" s="12">
        <f t="shared" si="20"/>
        <v>0.201109928048269</v>
      </c>
      <c r="W131" s="17">
        <f>COUNTIFS(源数据[日期],源数据[[#This Row],[日期]],源数据[账号id],源数据[[#This Row],[账号id]])</f>
        <v>1</v>
      </c>
      <c r="X131" s="15">
        <f>IFERROR(源数据[[#This Row],[点击量]]/源数据[[#This Row],[展示量]],"")</f>
        <v>0.0545607072564773</v>
      </c>
      <c r="Y131" s="16">
        <f>IFERROR(源数据[[#This Row],[播放量]]/源数据[[#This Row],[展示量]],"")</f>
        <v>0.201109928048269</v>
      </c>
      <c r="Z131" s="16">
        <f>IFERROR(源数据[[#This Row],[三连投放总消耗(毫分)]]/源数据[[#This Row],[播放量]],"")</f>
        <v>0.0579776223327451</v>
      </c>
      <c r="AA13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32" s="2" customFormat="1" spans="1:27">
      <c r="A132" s="7">
        <v>46204</v>
      </c>
      <c r="B132" s="8" t="s">
        <v>358</v>
      </c>
      <c r="C132" s="8" t="s">
        <v>359</v>
      </c>
      <c r="D132" s="8" t="s">
        <v>91</v>
      </c>
      <c r="E132" s="8" t="s">
        <v>92</v>
      </c>
      <c r="F132" s="8" t="s">
        <v>101</v>
      </c>
      <c r="G132" s="9">
        <v>40178</v>
      </c>
      <c r="H132" s="9">
        <v>953</v>
      </c>
      <c r="I132" s="10">
        <v>360.50931</v>
      </c>
      <c r="J132" s="11">
        <v>360.41</v>
      </c>
      <c r="K132" s="12">
        <f t="shared" si="14"/>
        <v>0.023719448454378</v>
      </c>
      <c r="L132" s="13">
        <f t="shared" si="15"/>
        <v>8.97280377320922</v>
      </c>
      <c r="M132" s="13">
        <f t="shared" si="16"/>
        <v>0.37828888772298</v>
      </c>
      <c r="N132" s="11">
        <v>0</v>
      </c>
      <c r="O132" s="11">
        <v>0</v>
      </c>
      <c r="P132" s="11">
        <v>395.42</v>
      </c>
      <c r="Q132" s="13">
        <f t="shared" si="17"/>
        <v>1.09683713854713</v>
      </c>
      <c r="R132" s="11">
        <v>395.42</v>
      </c>
      <c r="S132" s="13">
        <f t="shared" si="18"/>
        <v>1.09683713854713</v>
      </c>
      <c r="T132" s="9">
        <v>8008</v>
      </c>
      <c r="U132" s="13">
        <f t="shared" si="19"/>
        <v>22.2130185764135</v>
      </c>
      <c r="V132" s="12">
        <f t="shared" si="20"/>
        <v>0.199313056896809</v>
      </c>
      <c r="W132" s="17">
        <f>COUNTIFS(源数据[日期],源数据[[#This Row],[日期]],源数据[账号id],源数据[[#This Row],[账号id]])</f>
        <v>1</v>
      </c>
      <c r="X132" s="15">
        <f>IFERROR(源数据[[#This Row],[点击量]]/源数据[[#This Row],[展示量]],"")</f>
        <v>0.023719448454378</v>
      </c>
      <c r="Y132" s="16">
        <f>IFERROR(源数据[[#This Row],[播放量]]/源数据[[#This Row],[展示量]],"")</f>
        <v>0.199313056896809</v>
      </c>
      <c r="Z132" s="16">
        <f>IFERROR(源数据[[#This Row],[三连投放总消耗(毫分)]]/源数据[[#This Row],[播放量]],"")</f>
        <v>0.0450186451048951</v>
      </c>
      <c r="AA13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33" s="2" customFormat="1" spans="1:27">
      <c r="A133" s="7">
        <v>46204</v>
      </c>
      <c r="B133" s="8" t="s">
        <v>360</v>
      </c>
      <c r="C133" s="8" t="s">
        <v>361</v>
      </c>
      <c r="D133" s="8" t="s">
        <v>91</v>
      </c>
      <c r="E133" s="8" t="s">
        <v>92</v>
      </c>
      <c r="F133" s="8" t="s">
        <v>115</v>
      </c>
      <c r="G133" s="9">
        <v>29122</v>
      </c>
      <c r="H133" s="9">
        <v>1864</v>
      </c>
      <c r="I133" s="10">
        <v>360.22397</v>
      </c>
      <c r="J133" s="11">
        <v>360.14</v>
      </c>
      <c r="K133" s="12">
        <f t="shared" si="14"/>
        <v>0.0640065929537807</v>
      </c>
      <c r="L133" s="13">
        <f t="shared" si="15"/>
        <v>12.3694790879747</v>
      </c>
      <c r="M133" s="13">
        <f t="shared" si="16"/>
        <v>0.1932532027897</v>
      </c>
      <c r="N133" s="11">
        <v>0</v>
      </c>
      <c r="O133" s="11">
        <v>0</v>
      </c>
      <c r="P133" s="11">
        <v>354.01</v>
      </c>
      <c r="Q133" s="13">
        <f t="shared" si="17"/>
        <v>0.982749704302021</v>
      </c>
      <c r="R133" s="11">
        <v>354.01</v>
      </c>
      <c r="S133" s="13">
        <f t="shared" si="18"/>
        <v>0.982749704302021</v>
      </c>
      <c r="T133" s="9">
        <v>4814</v>
      </c>
      <c r="U133" s="13">
        <f t="shared" si="19"/>
        <v>13.3639080153383</v>
      </c>
      <c r="V133" s="12">
        <f t="shared" si="20"/>
        <v>0.165304580729346</v>
      </c>
      <c r="W133" s="17">
        <f>COUNTIFS(源数据[日期],源数据[[#This Row],[日期]],源数据[账号id],源数据[[#This Row],[账号id]])</f>
        <v>1</v>
      </c>
      <c r="X133" s="15">
        <f>IFERROR(源数据[[#This Row],[点击量]]/源数据[[#This Row],[展示量]],"")</f>
        <v>0.0640065929537807</v>
      </c>
      <c r="Y133" s="16">
        <f>IFERROR(源数据[[#This Row],[播放量]]/源数据[[#This Row],[展示量]],"")</f>
        <v>0.165304580729346</v>
      </c>
      <c r="Z133" s="16">
        <f>IFERROR(源数据[[#This Row],[三连投放总消耗(毫分)]]/源数据[[#This Row],[播放量]],"")</f>
        <v>0.074828410884919</v>
      </c>
      <c r="AA13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34" s="2" customFormat="1" spans="1:27">
      <c r="A134" s="7">
        <v>46204</v>
      </c>
      <c r="B134" s="8" t="s">
        <v>362</v>
      </c>
      <c r="C134" s="8" t="s">
        <v>363</v>
      </c>
      <c r="D134" s="8" t="s">
        <v>91</v>
      </c>
      <c r="E134" s="8" t="s">
        <v>92</v>
      </c>
      <c r="F134" s="8" t="s">
        <v>213</v>
      </c>
      <c r="G134" s="9">
        <v>35316</v>
      </c>
      <c r="H134" s="9">
        <v>1150</v>
      </c>
      <c r="I134" s="10">
        <v>356.43841</v>
      </c>
      <c r="J134" s="11">
        <v>356.32</v>
      </c>
      <c r="K134" s="12">
        <f t="shared" si="14"/>
        <v>0.0325631441839393</v>
      </c>
      <c r="L134" s="13">
        <f t="shared" si="15"/>
        <v>10.0928307282818</v>
      </c>
      <c r="M134" s="13">
        <f t="shared" si="16"/>
        <v>0.309946443478261</v>
      </c>
      <c r="N134" s="11">
        <v>0</v>
      </c>
      <c r="O134" s="11">
        <v>0</v>
      </c>
      <c r="P134" s="11">
        <v>401.62</v>
      </c>
      <c r="Q134" s="13">
        <f t="shared" si="17"/>
        <v>1.1267584770115</v>
      </c>
      <c r="R134" s="11">
        <v>401.62</v>
      </c>
      <c r="S134" s="13">
        <f t="shared" si="18"/>
        <v>1.1267584770115</v>
      </c>
      <c r="T134" s="9">
        <v>7441</v>
      </c>
      <c r="U134" s="13">
        <f t="shared" si="19"/>
        <v>20.875976862314</v>
      </c>
      <c r="V134" s="12">
        <f t="shared" si="20"/>
        <v>0.210697700758863</v>
      </c>
      <c r="W134" s="17">
        <f>COUNTIFS(源数据[日期],源数据[[#This Row],[日期]],源数据[账号id],源数据[[#This Row],[账号id]])</f>
        <v>1</v>
      </c>
      <c r="X134" s="15">
        <f>IFERROR(源数据[[#This Row],[点击量]]/源数据[[#This Row],[展示量]],"")</f>
        <v>0.0325631441839393</v>
      </c>
      <c r="Y134" s="16">
        <f>IFERROR(源数据[[#This Row],[播放量]]/源数据[[#This Row],[展示量]],"")</f>
        <v>0.210697700758863</v>
      </c>
      <c r="Z134" s="16">
        <f>IFERROR(源数据[[#This Row],[三连投放总消耗(毫分)]]/源数据[[#This Row],[播放量]],"")</f>
        <v>0.0479019500067195</v>
      </c>
      <c r="AA13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35" s="2" customFormat="1" spans="1:27">
      <c r="A135" s="7">
        <v>46204</v>
      </c>
      <c r="B135" s="8" t="s">
        <v>364</v>
      </c>
      <c r="C135" s="8" t="s">
        <v>365</v>
      </c>
      <c r="D135" s="8" t="s">
        <v>91</v>
      </c>
      <c r="E135" s="8" t="s">
        <v>92</v>
      </c>
      <c r="F135" s="8" t="s">
        <v>93</v>
      </c>
      <c r="G135" s="9">
        <v>28363</v>
      </c>
      <c r="H135" s="9">
        <v>1327</v>
      </c>
      <c r="I135" s="10">
        <v>350.95353</v>
      </c>
      <c r="J135" s="11">
        <v>350.84</v>
      </c>
      <c r="K135" s="12">
        <f t="shared" si="14"/>
        <v>0.0467863061030215</v>
      </c>
      <c r="L135" s="13">
        <f t="shared" si="15"/>
        <v>12.3736392483165</v>
      </c>
      <c r="M135" s="13">
        <f t="shared" si="16"/>
        <v>0.264471386586285</v>
      </c>
      <c r="N135" s="11">
        <v>0</v>
      </c>
      <c r="O135" s="11">
        <v>0</v>
      </c>
      <c r="P135" s="11">
        <v>364.85</v>
      </c>
      <c r="Q135" s="13">
        <f t="shared" si="17"/>
        <v>1.03959632490376</v>
      </c>
      <c r="R135" s="11">
        <v>364.85</v>
      </c>
      <c r="S135" s="13">
        <f t="shared" si="18"/>
        <v>1.03959632490376</v>
      </c>
      <c r="T135" s="9">
        <v>8502</v>
      </c>
      <c r="U135" s="13">
        <f t="shared" si="19"/>
        <v>24.2254295034445</v>
      </c>
      <c r="V135" s="12">
        <f t="shared" si="20"/>
        <v>0.299756725311145</v>
      </c>
      <c r="W135" s="17">
        <f>COUNTIFS(源数据[日期],源数据[[#This Row],[日期]],源数据[账号id],源数据[[#This Row],[账号id]])</f>
        <v>1</v>
      </c>
      <c r="X135" s="15">
        <f>IFERROR(源数据[[#This Row],[点击量]]/源数据[[#This Row],[展示量]],"")</f>
        <v>0.0467863061030215</v>
      </c>
      <c r="Y135" s="16">
        <f>IFERROR(源数据[[#This Row],[播放量]]/源数据[[#This Row],[展示量]],"")</f>
        <v>0.299756725311145</v>
      </c>
      <c r="Z135" s="16">
        <f>IFERROR(源数据[[#This Row],[三连投放总消耗(毫分)]]/源数据[[#This Row],[播放量]],"")</f>
        <v>0.0412789378969654</v>
      </c>
      <c r="AA13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36" s="2" customFormat="1" spans="1:27">
      <c r="A136" s="7">
        <v>46204</v>
      </c>
      <c r="B136" s="8" t="s">
        <v>366</v>
      </c>
      <c r="C136" s="8" t="s">
        <v>367</v>
      </c>
      <c r="D136" s="8" t="s">
        <v>91</v>
      </c>
      <c r="E136" s="8" t="s">
        <v>92</v>
      </c>
      <c r="F136" s="8" t="s">
        <v>96</v>
      </c>
      <c r="G136" s="9">
        <v>46113</v>
      </c>
      <c r="H136" s="9">
        <v>2121</v>
      </c>
      <c r="I136" s="10">
        <v>350.72834</v>
      </c>
      <c r="J136" s="11">
        <v>350.64</v>
      </c>
      <c r="K136" s="12">
        <f t="shared" si="14"/>
        <v>0.045995706199987</v>
      </c>
      <c r="L136" s="13">
        <f t="shared" si="15"/>
        <v>7.60584520634094</v>
      </c>
      <c r="M136" s="13">
        <f t="shared" si="16"/>
        <v>0.165359896275342</v>
      </c>
      <c r="N136" s="11">
        <v>0</v>
      </c>
      <c r="O136" s="11">
        <v>0</v>
      </c>
      <c r="P136" s="11">
        <v>371.59</v>
      </c>
      <c r="Q136" s="13">
        <f t="shared" si="17"/>
        <v>1.05948096466912</v>
      </c>
      <c r="R136" s="11">
        <v>371.59</v>
      </c>
      <c r="S136" s="13">
        <f t="shared" si="18"/>
        <v>1.05948096466912</v>
      </c>
      <c r="T136" s="9">
        <v>7392</v>
      </c>
      <c r="U136" s="13">
        <f t="shared" si="19"/>
        <v>21.0761411524372</v>
      </c>
      <c r="V136" s="12">
        <f t="shared" si="20"/>
        <v>0.16030186715243</v>
      </c>
      <c r="W136" s="17">
        <f>COUNTIFS(源数据[日期],源数据[[#This Row],[日期]],源数据[账号id],源数据[[#This Row],[账号id]])</f>
        <v>1</v>
      </c>
      <c r="X136" s="15">
        <f>IFERROR(源数据[[#This Row],[点击量]]/源数据[[#This Row],[展示量]],"")</f>
        <v>0.045995706199987</v>
      </c>
      <c r="Y136" s="16">
        <f>IFERROR(源数据[[#This Row],[播放量]]/源数据[[#This Row],[展示量]],"")</f>
        <v>0.16030186715243</v>
      </c>
      <c r="Z136" s="16">
        <f>IFERROR(源数据[[#This Row],[三连投放总消耗(毫分)]]/源数据[[#This Row],[播放量]],"")</f>
        <v>0.0474470156926407</v>
      </c>
      <c r="AA13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37" s="2" customFormat="1" spans="1:27">
      <c r="A137" s="7">
        <v>46204</v>
      </c>
      <c r="B137" s="8" t="s">
        <v>368</v>
      </c>
      <c r="C137" s="8" t="s">
        <v>369</v>
      </c>
      <c r="D137" s="8" t="s">
        <v>91</v>
      </c>
      <c r="E137" s="8" t="s">
        <v>92</v>
      </c>
      <c r="F137" s="8" t="s">
        <v>93</v>
      </c>
      <c r="G137" s="9">
        <v>27105</v>
      </c>
      <c r="H137" s="9">
        <v>2196</v>
      </c>
      <c r="I137" s="10">
        <v>347.554</v>
      </c>
      <c r="J137" s="11">
        <v>347.48</v>
      </c>
      <c r="K137" s="12">
        <f t="shared" si="14"/>
        <v>0.0810182623132263</v>
      </c>
      <c r="L137" s="13">
        <f t="shared" si="15"/>
        <v>12.8225050728648</v>
      </c>
      <c r="M137" s="13">
        <f t="shared" si="16"/>
        <v>0.158266848816029</v>
      </c>
      <c r="N137" s="11">
        <v>0</v>
      </c>
      <c r="O137" s="11">
        <v>0</v>
      </c>
      <c r="P137" s="11">
        <v>400.88</v>
      </c>
      <c r="Q137" s="13">
        <f t="shared" si="17"/>
        <v>1.15343227239508</v>
      </c>
      <c r="R137" s="11">
        <v>400.88</v>
      </c>
      <c r="S137" s="13">
        <f t="shared" si="18"/>
        <v>1.15343227239508</v>
      </c>
      <c r="T137" s="9">
        <v>5355</v>
      </c>
      <c r="U137" s="13">
        <f t="shared" si="19"/>
        <v>15.4076776558463</v>
      </c>
      <c r="V137" s="12">
        <f t="shared" si="20"/>
        <v>0.197565024903154</v>
      </c>
      <c r="W137" s="17">
        <f>COUNTIFS(源数据[日期],源数据[[#This Row],[日期]],源数据[账号id],源数据[[#This Row],[账号id]])</f>
        <v>1</v>
      </c>
      <c r="X137" s="15">
        <f>IFERROR(源数据[[#This Row],[点击量]]/源数据[[#This Row],[展示量]],"")</f>
        <v>0.0810182623132263</v>
      </c>
      <c r="Y137" s="16">
        <f>IFERROR(源数据[[#This Row],[播放量]]/源数据[[#This Row],[展示量]],"")</f>
        <v>0.197565024903154</v>
      </c>
      <c r="Z137" s="16">
        <f>IFERROR(源数据[[#This Row],[三连投放总消耗(毫分)]]/源数据[[#This Row],[播放量]],"")</f>
        <v>0.0649027077497666</v>
      </c>
      <c r="AA13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38" s="2" customFormat="1" spans="1:27">
      <c r="A138" s="7">
        <v>46204</v>
      </c>
      <c r="B138" s="8" t="s">
        <v>370</v>
      </c>
      <c r="C138" s="8" t="s">
        <v>371</v>
      </c>
      <c r="D138" s="8" t="s">
        <v>91</v>
      </c>
      <c r="E138" s="8" t="s">
        <v>92</v>
      </c>
      <c r="F138" s="8" t="s">
        <v>115</v>
      </c>
      <c r="G138" s="9">
        <v>25500</v>
      </c>
      <c r="H138" s="9">
        <v>1932</v>
      </c>
      <c r="I138" s="10">
        <v>347.38078</v>
      </c>
      <c r="J138" s="11">
        <v>347.27</v>
      </c>
      <c r="K138" s="12">
        <f t="shared" si="14"/>
        <v>0.0757647058823529</v>
      </c>
      <c r="L138" s="13">
        <f t="shared" si="15"/>
        <v>13.6227756862745</v>
      </c>
      <c r="M138" s="13">
        <f t="shared" si="16"/>
        <v>0.179803716356108</v>
      </c>
      <c r="N138" s="11">
        <v>0</v>
      </c>
      <c r="O138" s="11">
        <v>0</v>
      </c>
      <c r="P138" s="11">
        <v>370.16</v>
      </c>
      <c r="Q138" s="13">
        <f t="shared" si="17"/>
        <v>1.06557420937336</v>
      </c>
      <c r="R138" s="11">
        <v>370.16</v>
      </c>
      <c r="S138" s="13">
        <f t="shared" si="18"/>
        <v>1.06557420937336</v>
      </c>
      <c r="T138" s="9">
        <v>6390</v>
      </c>
      <c r="U138" s="13">
        <f t="shared" si="19"/>
        <v>18.3948000807644</v>
      </c>
      <c r="V138" s="12">
        <f t="shared" si="20"/>
        <v>0.250588235294118</v>
      </c>
      <c r="W138" s="17">
        <f>COUNTIFS(源数据[日期],源数据[[#This Row],[日期]],源数据[账号id],源数据[[#This Row],[账号id]])</f>
        <v>1</v>
      </c>
      <c r="X138" s="15">
        <f>IFERROR(源数据[[#This Row],[点击量]]/源数据[[#This Row],[展示量]],"")</f>
        <v>0.0757647058823529</v>
      </c>
      <c r="Y138" s="16">
        <f>IFERROR(源数据[[#This Row],[播放量]]/源数据[[#This Row],[展示量]],"")</f>
        <v>0.250588235294118</v>
      </c>
      <c r="Z138" s="16">
        <f>IFERROR(源数据[[#This Row],[三连投放总消耗(毫分)]]/源数据[[#This Row],[播放量]],"")</f>
        <v>0.0543631893583725</v>
      </c>
      <c r="AA13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39" s="2" customFormat="1" spans="1:27">
      <c r="A139" s="7">
        <v>46204</v>
      </c>
      <c r="B139" s="8" t="s">
        <v>372</v>
      </c>
      <c r="C139" s="8" t="s">
        <v>373</v>
      </c>
      <c r="D139" s="8" t="s">
        <v>91</v>
      </c>
      <c r="E139" s="8" t="s">
        <v>92</v>
      </c>
      <c r="F139" s="8" t="s">
        <v>115</v>
      </c>
      <c r="G139" s="9">
        <v>47412</v>
      </c>
      <c r="H139" s="9">
        <v>1453</v>
      </c>
      <c r="I139" s="10">
        <v>344.22097</v>
      </c>
      <c r="J139" s="11">
        <v>344.12</v>
      </c>
      <c r="K139" s="12">
        <f t="shared" si="14"/>
        <v>0.0306462498945415</v>
      </c>
      <c r="L139" s="13">
        <f t="shared" si="15"/>
        <v>7.2602077533114</v>
      </c>
      <c r="M139" s="13">
        <f t="shared" si="16"/>
        <v>0.236903626978665</v>
      </c>
      <c r="N139" s="11">
        <v>0</v>
      </c>
      <c r="O139" s="11">
        <v>0</v>
      </c>
      <c r="P139" s="11">
        <v>350.46</v>
      </c>
      <c r="Q139" s="13">
        <f t="shared" si="17"/>
        <v>1.01812507239173</v>
      </c>
      <c r="R139" s="11">
        <v>350.46</v>
      </c>
      <c r="S139" s="13">
        <f t="shared" si="18"/>
        <v>1.01812507239173</v>
      </c>
      <c r="T139" s="9">
        <v>8082</v>
      </c>
      <c r="U139" s="13">
        <f t="shared" si="19"/>
        <v>23.4791041347655</v>
      </c>
      <c r="V139" s="12">
        <f t="shared" si="20"/>
        <v>0.17046317388003</v>
      </c>
      <c r="W139" s="17">
        <f>COUNTIFS(源数据[日期],源数据[[#This Row],[日期]],源数据[账号id],源数据[[#This Row],[账号id]])</f>
        <v>1</v>
      </c>
      <c r="X139" s="15">
        <f>IFERROR(源数据[[#This Row],[点击量]]/源数据[[#This Row],[展示量]],"")</f>
        <v>0.0306462498945415</v>
      </c>
      <c r="Y139" s="16">
        <f>IFERROR(源数据[[#This Row],[播放量]]/源数据[[#This Row],[展示量]],"")</f>
        <v>0.17046317388003</v>
      </c>
      <c r="Z139" s="16">
        <f>IFERROR(源数据[[#This Row],[三连投放总消耗(毫分)]]/源数据[[#This Row],[播放量]],"")</f>
        <v>0.0425910628557288</v>
      </c>
      <c r="AA13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40" s="2" customFormat="1" spans="1:27">
      <c r="A140" s="7">
        <v>46204</v>
      </c>
      <c r="B140" s="8" t="s">
        <v>374</v>
      </c>
      <c r="C140" s="8" t="s">
        <v>375</v>
      </c>
      <c r="D140" s="8" t="s">
        <v>91</v>
      </c>
      <c r="E140" s="8" t="s">
        <v>92</v>
      </c>
      <c r="F140" s="8" t="s">
        <v>115</v>
      </c>
      <c r="G140" s="9">
        <v>25129</v>
      </c>
      <c r="H140" s="9">
        <v>1484</v>
      </c>
      <c r="I140" s="10">
        <v>342.3293</v>
      </c>
      <c r="J140" s="11">
        <v>342.23</v>
      </c>
      <c r="K140" s="12">
        <f t="shared" si="14"/>
        <v>0.0590552747821242</v>
      </c>
      <c r="L140" s="13">
        <f t="shared" si="15"/>
        <v>13.6228779497791</v>
      </c>
      <c r="M140" s="13">
        <f t="shared" si="16"/>
        <v>0.230680121293801</v>
      </c>
      <c r="N140" s="11">
        <v>0</v>
      </c>
      <c r="O140" s="11">
        <v>0</v>
      </c>
      <c r="P140" s="11">
        <v>354.43</v>
      </c>
      <c r="Q140" s="13">
        <f t="shared" si="17"/>
        <v>1.03534812824961</v>
      </c>
      <c r="R140" s="11">
        <v>354.43</v>
      </c>
      <c r="S140" s="13">
        <f t="shared" si="18"/>
        <v>1.03534812824961</v>
      </c>
      <c r="T140" s="9">
        <v>6358</v>
      </c>
      <c r="U140" s="13">
        <f t="shared" si="19"/>
        <v>18.5727602048671</v>
      </c>
      <c r="V140" s="12">
        <f t="shared" si="20"/>
        <v>0.253014445461419</v>
      </c>
      <c r="W140" s="17">
        <f>COUNTIFS(源数据[日期],源数据[[#This Row],[日期]],源数据[账号id],源数据[[#This Row],[账号id]])</f>
        <v>1</v>
      </c>
      <c r="X140" s="15">
        <f>IFERROR(源数据[[#This Row],[点击量]]/源数据[[#This Row],[展示量]],"")</f>
        <v>0.0590552747821242</v>
      </c>
      <c r="Y140" s="16">
        <f>IFERROR(源数据[[#This Row],[播放量]]/源数据[[#This Row],[展示量]],"")</f>
        <v>0.253014445461419</v>
      </c>
      <c r="Z140" s="16">
        <f>IFERROR(源数据[[#This Row],[三连投放总消耗(毫分)]]/源数据[[#This Row],[播放量]],"")</f>
        <v>0.0538422931739541</v>
      </c>
      <c r="AA14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41" s="2" customFormat="1" spans="1:27">
      <c r="A141" s="7">
        <v>46204</v>
      </c>
      <c r="B141" s="8" t="s">
        <v>376</v>
      </c>
      <c r="C141" s="8" t="s">
        <v>377</v>
      </c>
      <c r="D141" s="8" t="s">
        <v>91</v>
      </c>
      <c r="E141" s="8" t="s">
        <v>92</v>
      </c>
      <c r="F141" s="8" t="s">
        <v>152</v>
      </c>
      <c r="G141" s="9">
        <v>27809</v>
      </c>
      <c r="H141" s="9">
        <v>1979</v>
      </c>
      <c r="I141" s="10">
        <v>337.03817</v>
      </c>
      <c r="J141" s="11">
        <v>337</v>
      </c>
      <c r="K141" s="12">
        <f t="shared" si="14"/>
        <v>0.0711640116509044</v>
      </c>
      <c r="L141" s="13">
        <f t="shared" si="15"/>
        <v>12.1197515192923</v>
      </c>
      <c r="M141" s="13">
        <f t="shared" si="16"/>
        <v>0.170307311773623</v>
      </c>
      <c r="N141" s="11">
        <v>61.9</v>
      </c>
      <c r="O141" s="11">
        <v>61.9</v>
      </c>
      <c r="P141" s="11">
        <v>252.59</v>
      </c>
      <c r="Q141" s="13">
        <f t="shared" si="17"/>
        <v>0.749440337870337</v>
      </c>
      <c r="R141" s="11">
        <v>314.49</v>
      </c>
      <c r="S141" s="13">
        <f t="shared" si="18"/>
        <v>0.933099061153815</v>
      </c>
      <c r="T141" s="9">
        <v>5261</v>
      </c>
      <c r="U141" s="13">
        <f t="shared" si="19"/>
        <v>15.609507967599</v>
      </c>
      <c r="V141" s="12">
        <f t="shared" si="20"/>
        <v>0.189183357905714</v>
      </c>
      <c r="W141" s="17">
        <f>COUNTIFS(源数据[日期],源数据[[#This Row],[日期]],源数据[账号id],源数据[[#This Row],[账号id]])</f>
        <v>1</v>
      </c>
      <c r="X141" s="15">
        <f>IFERROR(源数据[[#This Row],[点击量]]/源数据[[#This Row],[展示量]],"")</f>
        <v>0.0711640116509044</v>
      </c>
      <c r="Y141" s="16">
        <f>IFERROR(源数据[[#This Row],[播放量]]/源数据[[#This Row],[展示量]],"")</f>
        <v>0.189183357905714</v>
      </c>
      <c r="Z141" s="16">
        <f>IFERROR(源数据[[#This Row],[三连投放总消耗(毫分)]]/源数据[[#This Row],[播放量]],"")</f>
        <v>0.0640635183425204</v>
      </c>
      <c r="AA14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42" s="2" customFormat="1" spans="1:27">
      <c r="A142" s="7">
        <v>46204</v>
      </c>
      <c r="B142" s="8" t="s">
        <v>378</v>
      </c>
      <c r="C142" s="8" t="s">
        <v>379</v>
      </c>
      <c r="D142" s="8" t="s">
        <v>91</v>
      </c>
      <c r="E142" s="8" t="s">
        <v>92</v>
      </c>
      <c r="F142" s="8" t="s">
        <v>93</v>
      </c>
      <c r="G142" s="9">
        <v>22211</v>
      </c>
      <c r="H142" s="9">
        <v>1572</v>
      </c>
      <c r="I142" s="10">
        <v>333.8161</v>
      </c>
      <c r="J142" s="11">
        <v>333.71</v>
      </c>
      <c r="K142" s="12">
        <f t="shared" si="14"/>
        <v>0.0707757417495835</v>
      </c>
      <c r="L142" s="13">
        <f t="shared" si="15"/>
        <v>15.0293143037234</v>
      </c>
      <c r="M142" s="13">
        <f t="shared" si="16"/>
        <v>0.2123512086514</v>
      </c>
      <c r="N142" s="11">
        <v>0</v>
      </c>
      <c r="O142" s="11">
        <v>0</v>
      </c>
      <c r="P142" s="11">
        <v>380.7</v>
      </c>
      <c r="Q142" s="13">
        <f t="shared" si="17"/>
        <v>1.14044828874341</v>
      </c>
      <c r="R142" s="11">
        <v>380.7</v>
      </c>
      <c r="S142" s="13">
        <f t="shared" si="18"/>
        <v>1.14044828874341</v>
      </c>
      <c r="T142" s="9">
        <v>3808</v>
      </c>
      <c r="U142" s="13">
        <f t="shared" si="19"/>
        <v>11.4074785488177</v>
      </c>
      <c r="V142" s="12">
        <f t="shared" si="20"/>
        <v>0.171446580523164</v>
      </c>
      <c r="W142" s="17">
        <f>COUNTIFS(源数据[日期],源数据[[#This Row],[日期]],源数据[账号id],源数据[[#This Row],[账号id]])</f>
        <v>1</v>
      </c>
      <c r="X142" s="15">
        <f>IFERROR(源数据[[#This Row],[点击量]]/源数据[[#This Row],[展示量]],"")</f>
        <v>0.0707757417495835</v>
      </c>
      <c r="Y142" s="16">
        <f>IFERROR(源数据[[#This Row],[播放量]]/源数据[[#This Row],[展示量]],"")</f>
        <v>0.171446580523164</v>
      </c>
      <c r="Z142" s="16">
        <f>IFERROR(源数据[[#This Row],[三连投放总消耗(毫分)]]/源数据[[#This Row],[播放量]],"")</f>
        <v>0.0876617909663866</v>
      </c>
      <c r="AA14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43" s="2" customFormat="1" spans="1:27">
      <c r="A143" s="7">
        <v>46204</v>
      </c>
      <c r="B143" s="8" t="s">
        <v>380</v>
      </c>
      <c r="C143" s="8" t="s">
        <v>381</v>
      </c>
      <c r="D143" s="8" t="s">
        <v>91</v>
      </c>
      <c r="E143" s="8" t="s">
        <v>92</v>
      </c>
      <c r="F143" s="8" t="s">
        <v>96</v>
      </c>
      <c r="G143" s="9">
        <v>22104</v>
      </c>
      <c r="H143" s="9">
        <v>544</v>
      </c>
      <c r="I143" s="10">
        <v>330.34915</v>
      </c>
      <c r="J143" s="11">
        <v>330.28</v>
      </c>
      <c r="K143" s="12">
        <f t="shared" si="14"/>
        <v>0.0246109301483894</v>
      </c>
      <c r="L143" s="13">
        <f t="shared" si="15"/>
        <v>14.9452203221136</v>
      </c>
      <c r="M143" s="13">
        <f t="shared" si="16"/>
        <v>0.607259466911765</v>
      </c>
      <c r="N143" s="11">
        <v>0</v>
      </c>
      <c r="O143" s="11">
        <v>0</v>
      </c>
      <c r="P143" s="11">
        <v>344.75</v>
      </c>
      <c r="Q143" s="13">
        <f t="shared" si="17"/>
        <v>1.04359281687269</v>
      </c>
      <c r="R143" s="11">
        <v>344.75</v>
      </c>
      <c r="S143" s="13">
        <f t="shared" si="18"/>
        <v>1.04359281687269</v>
      </c>
      <c r="T143" s="9">
        <v>4989</v>
      </c>
      <c r="U143" s="13">
        <f t="shared" si="19"/>
        <v>15.1022032295225</v>
      </c>
      <c r="V143" s="12">
        <f t="shared" si="20"/>
        <v>0.225705754614549</v>
      </c>
      <c r="W143" s="17">
        <f>COUNTIFS(源数据[日期],源数据[[#This Row],[日期]],源数据[账号id],源数据[[#This Row],[账号id]])</f>
        <v>1</v>
      </c>
      <c r="X143" s="15">
        <f>IFERROR(源数据[[#This Row],[点击量]]/源数据[[#This Row],[展示量]],"")</f>
        <v>0.0246109301483894</v>
      </c>
      <c r="Y143" s="16">
        <f>IFERROR(源数据[[#This Row],[播放量]]/源数据[[#This Row],[展示量]],"")</f>
        <v>0.225705754614549</v>
      </c>
      <c r="Z143" s="16">
        <f>IFERROR(源数据[[#This Row],[三连投放总消耗(毫分)]]/源数据[[#This Row],[播放量]],"")</f>
        <v>0.0662155041090399</v>
      </c>
      <c r="AA14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44" s="2" customFormat="1" spans="1:27">
      <c r="A144" s="7">
        <v>46204</v>
      </c>
      <c r="B144" s="8" t="s">
        <v>382</v>
      </c>
      <c r="C144" s="8" t="s">
        <v>383</v>
      </c>
      <c r="D144" s="8" t="s">
        <v>91</v>
      </c>
      <c r="E144" s="8" t="s">
        <v>92</v>
      </c>
      <c r="F144" s="8" t="s">
        <v>115</v>
      </c>
      <c r="G144" s="9">
        <v>12868</v>
      </c>
      <c r="H144" s="9">
        <v>827</v>
      </c>
      <c r="I144" s="10">
        <v>329.09628</v>
      </c>
      <c r="J144" s="11">
        <v>329.03</v>
      </c>
      <c r="K144" s="12">
        <f t="shared" si="14"/>
        <v>0.0642679515076158</v>
      </c>
      <c r="L144" s="13">
        <f t="shared" si="15"/>
        <v>25.5747808517252</v>
      </c>
      <c r="M144" s="13">
        <f t="shared" si="16"/>
        <v>0.397939879081016</v>
      </c>
      <c r="N144" s="11">
        <v>0</v>
      </c>
      <c r="O144" s="11">
        <v>0</v>
      </c>
      <c r="P144" s="11">
        <v>322.14</v>
      </c>
      <c r="Q144" s="13">
        <f t="shared" si="17"/>
        <v>0.978862477570394</v>
      </c>
      <c r="R144" s="11">
        <v>322.14</v>
      </c>
      <c r="S144" s="13">
        <f t="shared" si="18"/>
        <v>0.978862477570394</v>
      </c>
      <c r="T144" s="9">
        <v>3447</v>
      </c>
      <c r="U144" s="13">
        <f t="shared" si="19"/>
        <v>10.4741384496962</v>
      </c>
      <c r="V144" s="12">
        <f t="shared" si="20"/>
        <v>0.26787379546161</v>
      </c>
      <c r="W144" s="17">
        <f>COUNTIFS(源数据[日期],源数据[[#This Row],[日期]],源数据[账号id],源数据[[#This Row],[账号id]])</f>
        <v>1</v>
      </c>
      <c r="X144" s="15">
        <f>IFERROR(源数据[[#This Row],[点击量]]/源数据[[#This Row],[展示量]],"")</f>
        <v>0.0642679515076158</v>
      </c>
      <c r="Y144" s="16">
        <f>IFERROR(源数据[[#This Row],[播放量]]/源数据[[#This Row],[展示量]],"")</f>
        <v>0.26787379546161</v>
      </c>
      <c r="Z144" s="16">
        <f>IFERROR(源数据[[#This Row],[三连投放总消耗(毫分)]]/源数据[[#This Row],[播放量]],"")</f>
        <v>0.0954732463011314</v>
      </c>
      <c r="AA14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45" s="2" customFormat="1" spans="1:27">
      <c r="A145" s="7">
        <v>46204</v>
      </c>
      <c r="B145" s="8" t="s">
        <v>384</v>
      </c>
      <c r="C145" s="8" t="s">
        <v>385</v>
      </c>
      <c r="D145" s="8" t="s">
        <v>91</v>
      </c>
      <c r="E145" s="8" t="s">
        <v>92</v>
      </c>
      <c r="F145" s="8" t="s">
        <v>115</v>
      </c>
      <c r="G145" s="9">
        <v>19307</v>
      </c>
      <c r="H145" s="9">
        <v>1597</v>
      </c>
      <c r="I145" s="10">
        <v>323.46154</v>
      </c>
      <c r="J145" s="11">
        <v>323.36</v>
      </c>
      <c r="K145" s="12">
        <f t="shared" si="14"/>
        <v>0.0827161133267727</v>
      </c>
      <c r="L145" s="13">
        <f t="shared" si="15"/>
        <v>16.7535888537836</v>
      </c>
      <c r="M145" s="13">
        <f t="shared" si="16"/>
        <v>0.202543231058234</v>
      </c>
      <c r="N145" s="11">
        <v>0</v>
      </c>
      <c r="O145" s="11">
        <v>0</v>
      </c>
      <c r="P145" s="11">
        <v>342.68</v>
      </c>
      <c r="Q145" s="13">
        <f t="shared" si="17"/>
        <v>1.05941497712526</v>
      </c>
      <c r="R145" s="11">
        <v>342.68</v>
      </c>
      <c r="S145" s="13">
        <f t="shared" si="18"/>
        <v>1.05941497712526</v>
      </c>
      <c r="T145" s="9">
        <v>3983</v>
      </c>
      <c r="U145" s="13">
        <f t="shared" si="19"/>
        <v>12.3136741388172</v>
      </c>
      <c r="V145" s="12">
        <f t="shared" si="20"/>
        <v>0.206298233801212</v>
      </c>
      <c r="W145" s="17">
        <f>COUNTIFS(源数据[日期],源数据[[#This Row],[日期]],源数据[账号id],源数据[[#This Row],[账号id]])</f>
        <v>1</v>
      </c>
      <c r="X145" s="15">
        <f>IFERROR(源数据[[#This Row],[点击量]]/源数据[[#This Row],[展示量]],"")</f>
        <v>0.0827161133267727</v>
      </c>
      <c r="Y145" s="16">
        <f>IFERROR(源数据[[#This Row],[播放量]]/源数据[[#This Row],[展示量]],"")</f>
        <v>0.206298233801212</v>
      </c>
      <c r="Z145" s="16">
        <f>IFERROR(源数据[[#This Row],[三连投放总消耗(毫分)]]/源数据[[#This Row],[播放量]],"")</f>
        <v>0.0812105297514436</v>
      </c>
      <c r="AA14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46" s="2" customFormat="1" spans="1:27">
      <c r="A146" s="7">
        <v>46204</v>
      </c>
      <c r="B146" s="8" t="s">
        <v>386</v>
      </c>
      <c r="C146" s="8" t="s">
        <v>387</v>
      </c>
      <c r="D146" s="8" t="s">
        <v>91</v>
      </c>
      <c r="E146" s="8" t="s">
        <v>92</v>
      </c>
      <c r="F146" s="8" t="s">
        <v>93</v>
      </c>
      <c r="G146" s="9">
        <v>40584</v>
      </c>
      <c r="H146" s="9">
        <v>1297</v>
      </c>
      <c r="I146" s="10">
        <v>323.33709</v>
      </c>
      <c r="J146" s="11">
        <v>323.27</v>
      </c>
      <c r="K146" s="12">
        <f t="shared" si="14"/>
        <v>0.0319584072540903</v>
      </c>
      <c r="L146" s="13">
        <f t="shared" si="15"/>
        <v>7.9671074807806</v>
      </c>
      <c r="M146" s="13">
        <f t="shared" si="16"/>
        <v>0.249296137239784</v>
      </c>
      <c r="N146" s="11">
        <v>0</v>
      </c>
      <c r="O146" s="11">
        <v>0</v>
      </c>
      <c r="P146" s="11">
        <v>363.65</v>
      </c>
      <c r="Q146" s="13">
        <f t="shared" si="17"/>
        <v>1.12467765451839</v>
      </c>
      <c r="R146" s="11">
        <v>363.65</v>
      </c>
      <c r="S146" s="13">
        <f t="shared" si="18"/>
        <v>1.12467765451839</v>
      </c>
      <c r="T146" s="9">
        <v>8132</v>
      </c>
      <c r="U146" s="13">
        <f t="shared" si="19"/>
        <v>25.1502232546226</v>
      </c>
      <c r="V146" s="12">
        <f t="shared" si="20"/>
        <v>0.200374531835206</v>
      </c>
      <c r="W146" s="17">
        <f>COUNTIFS(源数据[日期],源数据[[#This Row],[日期]],源数据[账号id],源数据[[#This Row],[账号id]])</f>
        <v>1</v>
      </c>
      <c r="X146" s="15">
        <f>IFERROR(源数据[[#This Row],[点击量]]/源数据[[#This Row],[展示量]],"")</f>
        <v>0.0319584072540903</v>
      </c>
      <c r="Y146" s="16">
        <f>IFERROR(源数据[[#This Row],[播放量]]/源数据[[#This Row],[展示量]],"")</f>
        <v>0.200374531835206</v>
      </c>
      <c r="Z146" s="16">
        <f>IFERROR(源数据[[#This Row],[三连投放总消耗(毫分)]]/源数据[[#This Row],[播放量]],"")</f>
        <v>0.0397610784554845</v>
      </c>
      <c r="AA14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47" s="2" customFormat="1" spans="1:27">
      <c r="A147" s="7">
        <v>46204</v>
      </c>
      <c r="B147" s="8" t="s">
        <v>388</v>
      </c>
      <c r="C147" s="8" t="s">
        <v>389</v>
      </c>
      <c r="D147" s="8" t="s">
        <v>91</v>
      </c>
      <c r="E147" s="8" t="s">
        <v>92</v>
      </c>
      <c r="F147" s="8" t="s">
        <v>152</v>
      </c>
      <c r="G147" s="9">
        <v>13402</v>
      </c>
      <c r="H147" s="9">
        <v>4895</v>
      </c>
      <c r="I147" s="10">
        <v>305.89073</v>
      </c>
      <c r="J147" s="11">
        <v>305.87</v>
      </c>
      <c r="K147" s="12">
        <f t="shared" si="14"/>
        <v>0.365243993433816</v>
      </c>
      <c r="L147" s="13">
        <f t="shared" si="15"/>
        <v>22.8242598119684</v>
      </c>
      <c r="M147" s="13">
        <f t="shared" si="16"/>
        <v>0.0624904453524004</v>
      </c>
      <c r="N147" s="11">
        <v>0</v>
      </c>
      <c r="O147" s="11">
        <v>0</v>
      </c>
      <c r="P147" s="11">
        <v>233.7</v>
      </c>
      <c r="Q147" s="13">
        <f t="shared" si="17"/>
        <v>0.763998307500198</v>
      </c>
      <c r="R147" s="11">
        <v>233.7</v>
      </c>
      <c r="S147" s="13">
        <f t="shared" si="18"/>
        <v>0.763998307500198</v>
      </c>
      <c r="T147" s="9">
        <v>2501</v>
      </c>
      <c r="U147" s="13">
        <f t="shared" si="19"/>
        <v>8.17612223816001</v>
      </c>
      <c r="V147" s="12">
        <f t="shared" si="20"/>
        <v>0.186613938218176</v>
      </c>
      <c r="W147" s="17">
        <f>COUNTIFS(源数据[日期],源数据[[#This Row],[日期]],源数据[账号id],源数据[[#This Row],[账号id]])</f>
        <v>1</v>
      </c>
      <c r="X147" s="15">
        <f>IFERROR(源数据[[#This Row],[点击量]]/源数据[[#This Row],[展示量]],"")</f>
        <v>0.365243993433816</v>
      </c>
      <c r="Y147" s="16">
        <f>IFERROR(源数据[[#This Row],[播放量]]/源数据[[#This Row],[展示量]],"")</f>
        <v>0.186613938218176</v>
      </c>
      <c r="Z147" s="16">
        <f>IFERROR(源数据[[#This Row],[三连投放总消耗(毫分)]]/源数据[[#This Row],[播放量]],"")</f>
        <v>0.122307369052379</v>
      </c>
      <c r="AA14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48" s="2" customFormat="1" spans="1:27">
      <c r="A148" s="7">
        <v>46204</v>
      </c>
      <c r="B148" s="8" t="s">
        <v>390</v>
      </c>
      <c r="C148" s="8" t="s">
        <v>391</v>
      </c>
      <c r="D148" s="8" t="s">
        <v>91</v>
      </c>
      <c r="E148" s="8" t="s">
        <v>92</v>
      </c>
      <c r="F148" s="8" t="s">
        <v>96</v>
      </c>
      <c r="G148" s="9">
        <v>34426</v>
      </c>
      <c r="H148" s="9">
        <v>3007</v>
      </c>
      <c r="I148" s="10">
        <v>303.73944</v>
      </c>
      <c r="J148" s="11">
        <v>303.62</v>
      </c>
      <c r="K148" s="12">
        <f t="shared" si="14"/>
        <v>0.0873467727880091</v>
      </c>
      <c r="L148" s="13">
        <f t="shared" si="15"/>
        <v>8.82296636263289</v>
      </c>
      <c r="M148" s="13">
        <f t="shared" si="16"/>
        <v>0.101010788160958</v>
      </c>
      <c r="N148" s="11">
        <v>0</v>
      </c>
      <c r="O148" s="11">
        <v>0</v>
      </c>
      <c r="P148" s="11">
        <v>309.23</v>
      </c>
      <c r="Q148" s="13">
        <f t="shared" si="17"/>
        <v>1.01807654613441</v>
      </c>
      <c r="R148" s="11">
        <v>309.23</v>
      </c>
      <c r="S148" s="13">
        <f t="shared" si="18"/>
        <v>1.01807654613441</v>
      </c>
      <c r="T148" s="9">
        <v>4384</v>
      </c>
      <c r="U148" s="13">
        <f t="shared" si="19"/>
        <v>14.4334235949075</v>
      </c>
      <c r="V148" s="12">
        <f t="shared" si="20"/>
        <v>0.127345610875501</v>
      </c>
      <c r="W148" s="17">
        <f>COUNTIFS(源数据[日期],源数据[[#This Row],[日期]],源数据[账号id],源数据[[#This Row],[账号id]])</f>
        <v>1</v>
      </c>
      <c r="X148" s="15">
        <f>IFERROR(源数据[[#This Row],[点击量]]/源数据[[#This Row],[展示量]],"")</f>
        <v>0.0873467727880091</v>
      </c>
      <c r="Y148" s="16">
        <f>IFERROR(源数据[[#This Row],[播放量]]/源数据[[#This Row],[展示量]],"")</f>
        <v>0.127345610875501</v>
      </c>
      <c r="Z148" s="16">
        <f>IFERROR(源数据[[#This Row],[三连投放总消耗(毫分)]]/源数据[[#This Row],[播放量]],"")</f>
        <v>0.0692836313868613</v>
      </c>
      <c r="AA14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49" s="2" customFormat="1" spans="1:27">
      <c r="A149" s="7">
        <v>46204</v>
      </c>
      <c r="B149" s="8" t="s">
        <v>392</v>
      </c>
      <c r="C149" s="8" t="s">
        <v>393</v>
      </c>
      <c r="D149" s="8" t="s">
        <v>91</v>
      </c>
      <c r="E149" s="8" t="s">
        <v>92</v>
      </c>
      <c r="F149" s="8" t="s">
        <v>96</v>
      </c>
      <c r="G149" s="9">
        <v>24618</v>
      </c>
      <c r="H149" s="9">
        <v>533</v>
      </c>
      <c r="I149" s="10">
        <v>299.22025</v>
      </c>
      <c r="J149" s="11">
        <v>299.13</v>
      </c>
      <c r="K149" s="12">
        <f t="shared" si="14"/>
        <v>0.0216508245998863</v>
      </c>
      <c r="L149" s="13">
        <f t="shared" si="15"/>
        <v>12.154531237306</v>
      </c>
      <c r="M149" s="13">
        <f t="shared" si="16"/>
        <v>0.561388836772983</v>
      </c>
      <c r="N149" s="11">
        <v>0</v>
      </c>
      <c r="O149" s="11">
        <v>0</v>
      </c>
      <c r="P149" s="11">
        <v>291.24</v>
      </c>
      <c r="Q149" s="13">
        <f t="shared" si="17"/>
        <v>0.973329846492676</v>
      </c>
      <c r="R149" s="11">
        <v>291.24</v>
      </c>
      <c r="S149" s="13">
        <f t="shared" si="18"/>
        <v>0.973329846492676</v>
      </c>
      <c r="T149" s="9">
        <v>5267</v>
      </c>
      <c r="U149" s="13">
        <f t="shared" si="19"/>
        <v>17.6024182855271</v>
      </c>
      <c r="V149" s="12">
        <f t="shared" si="20"/>
        <v>0.213949142903567</v>
      </c>
      <c r="W149" s="17">
        <f>COUNTIFS(源数据[日期],源数据[[#This Row],[日期]],源数据[账号id],源数据[[#This Row],[账号id]])</f>
        <v>1</v>
      </c>
      <c r="X149" s="15">
        <f>IFERROR(源数据[[#This Row],[点击量]]/源数据[[#This Row],[展示量]],"")</f>
        <v>0.0216508245998863</v>
      </c>
      <c r="Y149" s="16">
        <f>IFERROR(源数据[[#This Row],[播放量]]/源数据[[#This Row],[展示量]],"")</f>
        <v>0.213949142903567</v>
      </c>
      <c r="Z149" s="16">
        <f>IFERROR(源数据[[#This Row],[三连投放总消耗(毫分)]]/源数据[[#This Row],[播放量]],"")</f>
        <v>0.0568103759255743</v>
      </c>
      <c r="AA14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50" s="2" customFormat="1" spans="1:27">
      <c r="A150" s="7">
        <v>46204</v>
      </c>
      <c r="B150" s="8" t="s">
        <v>394</v>
      </c>
      <c r="C150" s="8" t="s">
        <v>395</v>
      </c>
      <c r="D150" s="8" t="s">
        <v>91</v>
      </c>
      <c r="E150" s="8" t="s">
        <v>92</v>
      </c>
      <c r="F150" s="8" t="s">
        <v>101</v>
      </c>
      <c r="G150" s="9">
        <v>42209</v>
      </c>
      <c r="H150" s="9">
        <v>656</v>
      </c>
      <c r="I150" s="10">
        <v>296.33058</v>
      </c>
      <c r="J150" s="11">
        <v>296.23</v>
      </c>
      <c r="K150" s="12">
        <f t="shared" si="14"/>
        <v>0.01554170911417</v>
      </c>
      <c r="L150" s="13">
        <f t="shared" si="15"/>
        <v>7.02055438413609</v>
      </c>
      <c r="M150" s="13">
        <f t="shared" si="16"/>
        <v>0.451723445121951</v>
      </c>
      <c r="N150" s="11">
        <v>0</v>
      </c>
      <c r="O150" s="11">
        <v>0</v>
      </c>
      <c r="P150" s="11">
        <v>276.86</v>
      </c>
      <c r="Q150" s="13">
        <f t="shared" si="17"/>
        <v>0.934294395131275</v>
      </c>
      <c r="R150" s="11">
        <v>276.86</v>
      </c>
      <c r="S150" s="13">
        <f t="shared" si="18"/>
        <v>0.934294395131275</v>
      </c>
      <c r="T150" s="9">
        <v>7646</v>
      </c>
      <c r="U150" s="13">
        <f t="shared" si="19"/>
        <v>25.8022644844822</v>
      </c>
      <c r="V150" s="12">
        <f t="shared" si="20"/>
        <v>0.18114620104717</v>
      </c>
      <c r="W150" s="17">
        <f>COUNTIFS(源数据[日期],源数据[[#This Row],[日期]],源数据[账号id],源数据[[#This Row],[账号id]])</f>
        <v>1</v>
      </c>
      <c r="X150" s="15">
        <f>IFERROR(源数据[[#This Row],[点击量]]/源数据[[#This Row],[展示量]],"")</f>
        <v>0.01554170911417</v>
      </c>
      <c r="Y150" s="16">
        <f>IFERROR(源数据[[#This Row],[播放量]]/源数据[[#This Row],[展示量]],"")</f>
        <v>0.18114620104717</v>
      </c>
      <c r="Z150" s="16">
        <f>IFERROR(源数据[[#This Row],[三连投放总消耗(毫分)]]/源数据[[#This Row],[播放量]],"")</f>
        <v>0.0387562882552969</v>
      </c>
      <c r="AA15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51" s="2" customFormat="1" spans="1:27">
      <c r="A151" s="7">
        <v>46204</v>
      </c>
      <c r="B151" s="8" t="s">
        <v>396</v>
      </c>
      <c r="C151" s="8" t="s">
        <v>397</v>
      </c>
      <c r="D151" s="8" t="s">
        <v>91</v>
      </c>
      <c r="E151" s="8" t="s">
        <v>92</v>
      </c>
      <c r="F151" s="8" t="s">
        <v>93</v>
      </c>
      <c r="G151" s="9">
        <v>41424</v>
      </c>
      <c r="H151" s="9">
        <v>2161</v>
      </c>
      <c r="I151" s="10">
        <v>292.89522</v>
      </c>
      <c r="J151" s="11">
        <v>292.78</v>
      </c>
      <c r="K151" s="12">
        <f t="shared" si="14"/>
        <v>0.0521678254152182</v>
      </c>
      <c r="L151" s="13">
        <f t="shared" si="15"/>
        <v>7.07066483198146</v>
      </c>
      <c r="M151" s="13">
        <f t="shared" si="16"/>
        <v>0.135536890328552</v>
      </c>
      <c r="N151" s="11">
        <v>0</v>
      </c>
      <c r="O151" s="11">
        <v>0</v>
      </c>
      <c r="P151" s="11">
        <v>313.42</v>
      </c>
      <c r="Q151" s="13">
        <f t="shared" si="17"/>
        <v>1.07007550345137</v>
      </c>
      <c r="R151" s="11">
        <v>313.42</v>
      </c>
      <c r="S151" s="13">
        <f t="shared" si="18"/>
        <v>1.07007550345137</v>
      </c>
      <c r="T151" s="9">
        <v>5744</v>
      </c>
      <c r="U151" s="13">
        <f t="shared" si="19"/>
        <v>19.6111087097973</v>
      </c>
      <c r="V151" s="12">
        <f t="shared" si="20"/>
        <v>0.138663576670529</v>
      </c>
      <c r="W151" s="17">
        <f>COUNTIFS(源数据[日期],源数据[[#This Row],[日期]],源数据[账号id],源数据[[#This Row],[账号id]])</f>
        <v>1</v>
      </c>
      <c r="X151" s="15">
        <f>IFERROR(源数据[[#This Row],[点击量]]/源数据[[#This Row],[展示量]],"")</f>
        <v>0.0521678254152182</v>
      </c>
      <c r="Y151" s="16">
        <f>IFERROR(源数据[[#This Row],[播放量]]/源数据[[#This Row],[展示量]],"")</f>
        <v>0.138663576670529</v>
      </c>
      <c r="Z151" s="16">
        <f>IFERROR(源数据[[#This Row],[三连投放总消耗(毫分)]]/源数据[[#This Row],[播放量]],"")</f>
        <v>0.0509915076601671</v>
      </c>
      <c r="AA15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52" s="2" customFormat="1" spans="1:27">
      <c r="A152" s="7">
        <v>46204</v>
      </c>
      <c r="B152" s="8" t="s">
        <v>398</v>
      </c>
      <c r="C152" s="8" t="s">
        <v>399</v>
      </c>
      <c r="D152" s="8" t="s">
        <v>91</v>
      </c>
      <c r="E152" s="8" t="s">
        <v>92</v>
      </c>
      <c r="F152" s="8" t="s">
        <v>101</v>
      </c>
      <c r="G152" s="9">
        <v>33580</v>
      </c>
      <c r="H152" s="9">
        <v>853</v>
      </c>
      <c r="I152" s="10">
        <v>292.59007</v>
      </c>
      <c r="J152" s="11">
        <v>292.5</v>
      </c>
      <c r="K152" s="12">
        <f t="shared" si="14"/>
        <v>0.0254020250148898</v>
      </c>
      <c r="L152" s="13">
        <f t="shared" si="15"/>
        <v>8.71322424061942</v>
      </c>
      <c r="M152" s="13">
        <f t="shared" si="16"/>
        <v>0.343012977725674</v>
      </c>
      <c r="N152" s="11">
        <v>0</v>
      </c>
      <c r="O152" s="11">
        <v>0</v>
      </c>
      <c r="P152" s="11">
        <v>285.9</v>
      </c>
      <c r="Q152" s="13">
        <f t="shared" si="17"/>
        <v>0.977135006666494</v>
      </c>
      <c r="R152" s="11">
        <v>285.9</v>
      </c>
      <c r="S152" s="13">
        <f t="shared" si="18"/>
        <v>0.977135006666494</v>
      </c>
      <c r="T152" s="9">
        <v>8183</v>
      </c>
      <c r="U152" s="13">
        <f t="shared" si="19"/>
        <v>27.967456311829</v>
      </c>
      <c r="V152" s="12">
        <f t="shared" si="20"/>
        <v>0.243686718284693</v>
      </c>
      <c r="W152" s="17">
        <f>COUNTIFS(源数据[日期],源数据[[#This Row],[日期]],源数据[账号id],源数据[[#This Row],[账号id]])</f>
        <v>1</v>
      </c>
      <c r="X152" s="15">
        <f>IFERROR(源数据[[#This Row],[点击量]]/源数据[[#This Row],[展示量]],"")</f>
        <v>0.0254020250148898</v>
      </c>
      <c r="Y152" s="16">
        <f>IFERROR(源数据[[#This Row],[播放量]]/源数据[[#This Row],[展示量]],"")</f>
        <v>0.243686718284693</v>
      </c>
      <c r="Z152" s="16">
        <f>IFERROR(源数据[[#This Row],[三连投放总消耗(毫分)]]/源数据[[#This Row],[播放量]],"")</f>
        <v>0.035755843822559</v>
      </c>
      <c r="AA15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53" s="2" customFormat="1" spans="1:27">
      <c r="A153" s="7">
        <v>46204</v>
      </c>
      <c r="B153" s="8" t="s">
        <v>400</v>
      </c>
      <c r="C153" s="8" t="s">
        <v>401</v>
      </c>
      <c r="D153" s="8" t="s">
        <v>91</v>
      </c>
      <c r="E153" s="8" t="s">
        <v>92</v>
      </c>
      <c r="F153" s="8" t="s">
        <v>96</v>
      </c>
      <c r="G153" s="9">
        <v>175065</v>
      </c>
      <c r="H153" s="9">
        <v>1028</v>
      </c>
      <c r="I153" s="10">
        <v>280.02054</v>
      </c>
      <c r="J153" s="11">
        <v>279.89</v>
      </c>
      <c r="K153" s="12">
        <f t="shared" si="14"/>
        <v>0.00587210464684546</v>
      </c>
      <c r="L153" s="13">
        <f t="shared" si="15"/>
        <v>1.59952326278811</v>
      </c>
      <c r="M153" s="13">
        <f t="shared" si="16"/>
        <v>0.272393521400778</v>
      </c>
      <c r="N153" s="11">
        <v>0</v>
      </c>
      <c r="O153" s="11">
        <v>0</v>
      </c>
      <c r="P153" s="11">
        <v>279.95</v>
      </c>
      <c r="Q153" s="13">
        <f t="shared" si="17"/>
        <v>0.999748089907976</v>
      </c>
      <c r="R153" s="11">
        <v>279.95</v>
      </c>
      <c r="S153" s="13">
        <f t="shared" si="18"/>
        <v>0.999748089907976</v>
      </c>
      <c r="T153" s="9">
        <v>7550</v>
      </c>
      <c r="U153" s="13">
        <f t="shared" si="19"/>
        <v>26.962307836418</v>
      </c>
      <c r="V153" s="12">
        <f t="shared" si="20"/>
        <v>0.0431268386028047</v>
      </c>
      <c r="W153" s="17">
        <f>COUNTIFS(源数据[日期],源数据[[#This Row],[日期]],源数据[账号id],源数据[[#This Row],[账号id]])</f>
        <v>1</v>
      </c>
      <c r="X153" s="15">
        <f>IFERROR(源数据[[#This Row],[点击量]]/源数据[[#This Row],[展示量]],"")</f>
        <v>0.00587210464684546</v>
      </c>
      <c r="Y153" s="16">
        <f>IFERROR(源数据[[#This Row],[播放量]]/源数据[[#This Row],[展示量]],"")</f>
        <v>0.0431268386028047</v>
      </c>
      <c r="Z153" s="16">
        <f>IFERROR(源数据[[#This Row],[三连投放总消耗(毫分)]]/源数据[[#This Row],[播放量]],"")</f>
        <v>0.0370888132450331</v>
      </c>
      <c r="AA15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54" s="2" customFormat="1" spans="1:27">
      <c r="A154" s="7">
        <v>46204</v>
      </c>
      <c r="B154" s="8" t="s">
        <v>402</v>
      </c>
      <c r="C154" s="8" t="s">
        <v>403</v>
      </c>
      <c r="D154" s="8" t="s">
        <v>91</v>
      </c>
      <c r="E154" s="8" t="s">
        <v>92</v>
      </c>
      <c r="F154" s="8" t="s">
        <v>93</v>
      </c>
      <c r="G154" s="9">
        <v>17946</v>
      </c>
      <c r="H154" s="9">
        <v>1392</v>
      </c>
      <c r="I154" s="10">
        <v>276.09584</v>
      </c>
      <c r="J154" s="11">
        <v>276</v>
      </c>
      <c r="K154" s="12">
        <f t="shared" si="14"/>
        <v>0.0775660314276162</v>
      </c>
      <c r="L154" s="13">
        <f t="shared" si="15"/>
        <v>15.384812214421</v>
      </c>
      <c r="M154" s="13">
        <f t="shared" si="16"/>
        <v>0.198344712643678</v>
      </c>
      <c r="N154" s="11">
        <v>0</v>
      </c>
      <c r="O154" s="11">
        <v>0</v>
      </c>
      <c r="P154" s="11">
        <v>293.76</v>
      </c>
      <c r="Q154" s="13">
        <f t="shared" si="17"/>
        <v>1.06397836345524</v>
      </c>
      <c r="R154" s="11">
        <v>293.76</v>
      </c>
      <c r="S154" s="13">
        <f t="shared" si="18"/>
        <v>1.06397836345524</v>
      </c>
      <c r="T154" s="9">
        <v>4408</v>
      </c>
      <c r="U154" s="13">
        <f t="shared" si="19"/>
        <v>15.9654705409542</v>
      </c>
      <c r="V154" s="12">
        <f t="shared" si="20"/>
        <v>0.245625766187451</v>
      </c>
      <c r="W154" s="17">
        <f>COUNTIFS(源数据[日期],源数据[[#This Row],[日期]],源数据[账号id],源数据[[#This Row],[账号id]])</f>
        <v>1</v>
      </c>
      <c r="X154" s="15">
        <f>IFERROR(源数据[[#This Row],[点击量]]/源数据[[#This Row],[展示量]],"")</f>
        <v>0.0775660314276162</v>
      </c>
      <c r="Y154" s="16">
        <f>IFERROR(源数据[[#This Row],[播放量]]/源数据[[#This Row],[展示量]],"")</f>
        <v>0.245625766187451</v>
      </c>
      <c r="Z154" s="16">
        <f>IFERROR(源数据[[#This Row],[三连投放总消耗(毫分)]]/源数据[[#This Row],[播放量]],"")</f>
        <v>0.0626351724137931</v>
      </c>
      <c r="AA15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55" s="2" customFormat="1" spans="1:27">
      <c r="A155" s="7">
        <v>46204</v>
      </c>
      <c r="B155" s="8" t="s">
        <v>404</v>
      </c>
      <c r="C155" s="8" t="s">
        <v>405</v>
      </c>
      <c r="D155" s="8" t="s">
        <v>91</v>
      </c>
      <c r="E155" s="8" t="s">
        <v>92</v>
      </c>
      <c r="F155" s="8" t="s">
        <v>115</v>
      </c>
      <c r="G155" s="9">
        <v>18138</v>
      </c>
      <c r="H155" s="9">
        <v>1236</v>
      </c>
      <c r="I155" s="10">
        <v>274.62695</v>
      </c>
      <c r="J155" s="11">
        <v>274.52</v>
      </c>
      <c r="K155" s="12">
        <f t="shared" si="14"/>
        <v>0.0681442275884883</v>
      </c>
      <c r="L155" s="13">
        <f t="shared" si="15"/>
        <v>15.1409719925019</v>
      </c>
      <c r="M155" s="13">
        <f t="shared" si="16"/>
        <v>0.222190088996764</v>
      </c>
      <c r="N155" s="11">
        <v>0</v>
      </c>
      <c r="O155" s="11">
        <v>0</v>
      </c>
      <c r="P155" s="11">
        <v>298.46</v>
      </c>
      <c r="Q155" s="13">
        <f t="shared" si="17"/>
        <v>1.0867833619388</v>
      </c>
      <c r="R155" s="11">
        <v>298.46</v>
      </c>
      <c r="S155" s="13">
        <f t="shared" si="18"/>
        <v>1.0867833619388</v>
      </c>
      <c r="T155" s="9">
        <v>4332</v>
      </c>
      <c r="U155" s="13">
        <f t="shared" si="19"/>
        <v>15.7741255910973</v>
      </c>
      <c r="V155" s="12">
        <f t="shared" si="20"/>
        <v>0.238835593781012</v>
      </c>
      <c r="W155" s="17">
        <f>COUNTIFS(源数据[日期],源数据[[#This Row],[日期]],源数据[账号id],源数据[[#This Row],[账号id]])</f>
        <v>1</v>
      </c>
      <c r="X155" s="15">
        <f>IFERROR(源数据[[#This Row],[点击量]]/源数据[[#This Row],[展示量]],"")</f>
        <v>0.0681442275884883</v>
      </c>
      <c r="Y155" s="16">
        <f>IFERROR(源数据[[#This Row],[播放量]]/源数据[[#This Row],[展示量]],"")</f>
        <v>0.238835593781012</v>
      </c>
      <c r="Z155" s="16">
        <f>IFERROR(源数据[[#This Row],[三连投放总消耗(毫分)]]/源数据[[#This Row],[播放量]],"")</f>
        <v>0.0633949561403509</v>
      </c>
      <c r="AA15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56" s="2" customFormat="1" spans="1:27">
      <c r="A156" s="7">
        <v>46204</v>
      </c>
      <c r="B156" s="8" t="s">
        <v>406</v>
      </c>
      <c r="C156" s="8" t="s">
        <v>407</v>
      </c>
      <c r="D156" s="8" t="s">
        <v>91</v>
      </c>
      <c r="E156" s="8" t="s">
        <v>92</v>
      </c>
      <c r="F156" s="8" t="s">
        <v>152</v>
      </c>
      <c r="G156" s="9">
        <v>12964</v>
      </c>
      <c r="H156" s="9">
        <v>3697</v>
      </c>
      <c r="I156" s="10">
        <v>270.41039</v>
      </c>
      <c r="J156" s="11">
        <v>270.37</v>
      </c>
      <c r="K156" s="12">
        <f t="shared" si="14"/>
        <v>0.28517432891083</v>
      </c>
      <c r="L156" s="13">
        <f t="shared" si="15"/>
        <v>20.8585614008022</v>
      </c>
      <c r="M156" s="13">
        <f t="shared" si="16"/>
        <v>0.0731431944820124</v>
      </c>
      <c r="N156" s="11">
        <v>58.83</v>
      </c>
      <c r="O156" s="11">
        <v>58.83</v>
      </c>
      <c r="P156" s="11">
        <v>164.41</v>
      </c>
      <c r="Q156" s="13">
        <f t="shared" si="17"/>
        <v>0.608001785730201</v>
      </c>
      <c r="R156" s="11">
        <v>223.23</v>
      </c>
      <c r="S156" s="13">
        <f t="shared" si="18"/>
        <v>0.825523013372378</v>
      </c>
      <c r="T156" s="9">
        <v>2486</v>
      </c>
      <c r="U156" s="13">
        <f t="shared" si="19"/>
        <v>9.19343372863742</v>
      </c>
      <c r="V156" s="12">
        <f t="shared" si="20"/>
        <v>0.19176180191299</v>
      </c>
      <c r="W156" s="17">
        <f>COUNTIFS(源数据[日期],源数据[[#This Row],[日期]],源数据[账号id],源数据[[#This Row],[账号id]])</f>
        <v>1</v>
      </c>
      <c r="X156" s="15">
        <f>IFERROR(源数据[[#This Row],[点击量]]/源数据[[#This Row],[展示量]],"")</f>
        <v>0.28517432891083</v>
      </c>
      <c r="Y156" s="16">
        <f>IFERROR(源数据[[#This Row],[播放量]]/源数据[[#This Row],[展示量]],"")</f>
        <v>0.19176180191299</v>
      </c>
      <c r="Z156" s="16">
        <f>IFERROR(源数据[[#This Row],[三连投放总消耗(毫分)]]/源数据[[#This Row],[播放量]],"")</f>
        <v>0.108773286403862</v>
      </c>
      <c r="AA15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57" s="2" customFormat="1" spans="1:27">
      <c r="A157" s="7">
        <v>46204</v>
      </c>
      <c r="B157" s="8" t="s">
        <v>408</v>
      </c>
      <c r="C157" s="8" t="s">
        <v>409</v>
      </c>
      <c r="D157" s="8" t="s">
        <v>91</v>
      </c>
      <c r="E157" s="8" t="s">
        <v>92</v>
      </c>
      <c r="F157" s="8" t="s">
        <v>93</v>
      </c>
      <c r="G157" s="9">
        <v>28882</v>
      </c>
      <c r="H157" s="9">
        <v>1136</v>
      </c>
      <c r="I157" s="10">
        <v>269.562</v>
      </c>
      <c r="J157" s="11">
        <v>269.46</v>
      </c>
      <c r="K157" s="12">
        <f t="shared" si="14"/>
        <v>0.0393324562010941</v>
      </c>
      <c r="L157" s="13">
        <f t="shared" si="15"/>
        <v>9.33321792119659</v>
      </c>
      <c r="M157" s="13">
        <f t="shared" si="16"/>
        <v>0.237290492957746</v>
      </c>
      <c r="N157" s="11">
        <v>0</v>
      </c>
      <c r="O157" s="11">
        <v>0</v>
      </c>
      <c r="P157" s="11">
        <v>266.05</v>
      </c>
      <c r="Q157" s="13">
        <f t="shared" si="17"/>
        <v>0.986971457401266</v>
      </c>
      <c r="R157" s="11">
        <v>266.05</v>
      </c>
      <c r="S157" s="13">
        <f t="shared" si="18"/>
        <v>0.986971457401266</v>
      </c>
      <c r="T157" s="9">
        <v>6965</v>
      </c>
      <c r="U157" s="13">
        <f t="shared" si="19"/>
        <v>25.8382116173645</v>
      </c>
      <c r="V157" s="12">
        <f t="shared" si="20"/>
        <v>0.241153659718856</v>
      </c>
      <c r="W157" s="17">
        <f>COUNTIFS(源数据[日期],源数据[[#This Row],[日期]],源数据[账号id],源数据[[#This Row],[账号id]])</f>
        <v>1</v>
      </c>
      <c r="X157" s="15">
        <f>IFERROR(源数据[[#This Row],[点击量]]/源数据[[#This Row],[展示量]],"")</f>
        <v>0.0393324562010941</v>
      </c>
      <c r="Y157" s="16">
        <f>IFERROR(源数据[[#This Row],[播放量]]/源数据[[#This Row],[展示量]],"")</f>
        <v>0.241153659718856</v>
      </c>
      <c r="Z157" s="16">
        <f>IFERROR(源数据[[#This Row],[三连投放总消耗(毫分)]]/源数据[[#This Row],[播放量]],"")</f>
        <v>0.0387023689877961</v>
      </c>
      <c r="AA15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58" s="2" customFormat="1" spans="1:27">
      <c r="A158" s="7">
        <v>46204</v>
      </c>
      <c r="B158" s="8" t="s">
        <v>410</v>
      </c>
      <c r="C158" s="8" t="s">
        <v>411</v>
      </c>
      <c r="D158" s="8" t="s">
        <v>91</v>
      </c>
      <c r="E158" s="8" t="s">
        <v>92</v>
      </c>
      <c r="F158" s="8" t="s">
        <v>93</v>
      </c>
      <c r="G158" s="9">
        <v>20449</v>
      </c>
      <c r="H158" s="9">
        <v>878</v>
      </c>
      <c r="I158" s="10">
        <v>267.29305</v>
      </c>
      <c r="J158" s="11">
        <v>267.22</v>
      </c>
      <c r="K158" s="12">
        <f t="shared" si="14"/>
        <v>0.0429360848941269</v>
      </c>
      <c r="L158" s="13">
        <f t="shared" si="15"/>
        <v>13.0712039708543</v>
      </c>
      <c r="M158" s="13">
        <f t="shared" si="16"/>
        <v>0.304433997722096</v>
      </c>
      <c r="N158" s="11">
        <v>0</v>
      </c>
      <c r="O158" s="11">
        <v>0</v>
      </c>
      <c r="P158" s="11">
        <v>260.94</v>
      </c>
      <c r="Q158" s="13">
        <f t="shared" si="17"/>
        <v>0.976231892299482</v>
      </c>
      <c r="R158" s="11">
        <v>260.94</v>
      </c>
      <c r="S158" s="13">
        <f t="shared" si="18"/>
        <v>0.976231892299482</v>
      </c>
      <c r="T158" s="9">
        <v>5149</v>
      </c>
      <c r="U158" s="13">
        <f t="shared" si="19"/>
        <v>19.2635012395571</v>
      </c>
      <c r="V158" s="12">
        <f t="shared" si="20"/>
        <v>0.251797153895056</v>
      </c>
      <c r="W158" s="17">
        <f>COUNTIFS(源数据[日期],源数据[[#This Row],[日期]],源数据[账号id],源数据[[#This Row],[账号id]])</f>
        <v>1</v>
      </c>
      <c r="X158" s="15">
        <f>IFERROR(源数据[[#This Row],[点击量]]/源数据[[#This Row],[展示量]],"")</f>
        <v>0.0429360848941269</v>
      </c>
      <c r="Y158" s="16">
        <f>IFERROR(源数据[[#This Row],[播放量]]/源数据[[#This Row],[展示量]],"")</f>
        <v>0.251797153895056</v>
      </c>
      <c r="Z158" s="16">
        <f>IFERROR(源数据[[#This Row],[三连投放总消耗(毫分)]]/源数据[[#This Row],[播放量]],"")</f>
        <v>0.051911643037483</v>
      </c>
      <c r="AA15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59" s="2" customFormat="1" spans="1:27">
      <c r="A159" s="7">
        <v>46204</v>
      </c>
      <c r="B159" s="8" t="s">
        <v>412</v>
      </c>
      <c r="C159" s="8" t="s">
        <v>413</v>
      </c>
      <c r="D159" s="8" t="s">
        <v>91</v>
      </c>
      <c r="E159" s="8" t="s">
        <v>92</v>
      </c>
      <c r="F159" s="8" t="s">
        <v>115</v>
      </c>
      <c r="G159" s="9">
        <v>22387</v>
      </c>
      <c r="H159" s="9">
        <v>799</v>
      </c>
      <c r="I159" s="10">
        <v>266.473</v>
      </c>
      <c r="J159" s="11">
        <v>266.36</v>
      </c>
      <c r="K159" s="12">
        <f t="shared" si="14"/>
        <v>0.0356903560101845</v>
      </c>
      <c r="L159" s="13">
        <f t="shared" si="15"/>
        <v>11.903024076473</v>
      </c>
      <c r="M159" s="13">
        <f t="shared" si="16"/>
        <v>0.333508135168961</v>
      </c>
      <c r="N159" s="11">
        <v>0</v>
      </c>
      <c r="O159" s="11">
        <v>0</v>
      </c>
      <c r="P159" s="11">
        <v>252.03</v>
      </c>
      <c r="Q159" s="13">
        <f t="shared" si="17"/>
        <v>0.945799386804667</v>
      </c>
      <c r="R159" s="11">
        <v>252.03</v>
      </c>
      <c r="S159" s="13">
        <f t="shared" si="18"/>
        <v>0.945799386804667</v>
      </c>
      <c r="T159" s="9">
        <v>5442</v>
      </c>
      <c r="U159" s="13">
        <f t="shared" si="19"/>
        <v>20.4223317184105</v>
      </c>
      <c r="V159" s="12">
        <f t="shared" si="20"/>
        <v>0.243087506141957</v>
      </c>
      <c r="W159" s="17">
        <f>COUNTIFS(源数据[日期],源数据[[#This Row],[日期]],源数据[账号id],源数据[[#This Row],[账号id]])</f>
        <v>1</v>
      </c>
      <c r="X159" s="15">
        <f>IFERROR(源数据[[#This Row],[点击量]]/源数据[[#This Row],[展示量]],"")</f>
        <v>0.0356903560101845</v>
      </c>
      <c r="Y159" s="16">
        <f>IFERROR(源数据[[#This Row],[播放量]]/源数据[[#This Row],[展示量]],"")</f>
        <v>0.243087506141957</v>
      </c>
      <c r="Z159" s="16">
        <f>IFERROR(源数据[[#This Row],[三连投放总消耗(毫分)]]/源数据[[#This Row],[播放量]],"")</f>
        <v>0.0489660051451672</v>
      </c>
      <c r="AA15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60" s="2" customFormat="1" spans="1:27">
      <c r="A160" s="7">
        <v>46204</v>
      </c>
      <c r="B160" s="8" t="s">
        <v>414</v>
      </c>
      <c r="C160" s="8" t="s">
        <v>415</v>
      </c>
      <c r="D160" s="8" t="s">
        <v>91</v>
      </c>
      <c r="E160" s="8" t="s">
        <v>92</v>
      </c>
      <c r="F160" s="8" t="s">
        <v>115</v>
      </c>
      <c r="G160" s="9">
        <v>41503</v>
      </c>
      <c r="H160" s="9">
        <v>1316</v>
      </c>
      <c r="I160" s="10">
        <v>266.21636</v>
      </c>
      <c r="J160" s="11">
        <v>266.14</v>
      </c>
      <c r="K160" s="12">
        <f t="shared" si="14"/>
        <v>0.0317085511890707</v>
      </c>
      <c r="L160" s="13">
        <f t="shared" si="15"/>
        <v>6.41438835746813</v>
      </c>
      <c r="M160" s="13">
        <f t="shared" si="16"/>
        <v>0.202292066869301</v>
      </c>
      <c r="N160" s="11">
        <v>0</v>
      </c>
      <c r="O160" s="11">
        <v>0</v>
      </c>
      <c r="P160" s="11">
        <v>284.13</v>
      </c>
      <c r="Q160" s="13">
        <f t="shared" si="17"/>
        <v>1.06728977888511</v>
      </c>
      <c r="R160" s="11">
        <v>284.13</v>
      </c>
      <c r="S160" s="13">
        <f t="shared" si="18"/>
        <v>1.06728977888511</v>
      </c>
      <c r="T160" s="9">
        <v>6745</v>
      </c>
      <c r="U160" s="13">
        <f t="shared" si="19"/>
        <v>25.3365345390494</v>
      </c>
      <c r="V160" s="12">
        <f t="shared" si="20"/>
        <v>0.162518372165868</v>
      </c>
      <c r="W160" s="17">
        <f>COUNTIFS(源数据[日期],源数据[[#This Row],[日期]],源数据[账号id],源数据[[#This Row],[账号id]])</f>
        <v>1</v>
      </c>
      <c r="X160" s="15">
        <f>IFERROR(源数据[[#This Row],[点击量]]/源数据[[#This Row],[展示量]],"")</f>
        <v>0.0317085511890707</v>
      </c>
      <c r="Y160" s="16">
        <f>IFERROR(源数据[[#This Row],[播放量]]/源数据[[#This Row],[展示量]],"")</f>
        <v>0.162518372165868</v>
      </c>
      <c r="Z160" s="16">
        <f>IFERROR(源数据[[#This Row],[三连投放总消耗(毫分)]]/源数据[[#This Row],[播放量]],"")</f>
        <v>0.0394686968124537</v>
      </c>
      <c r="AA16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61" s="2" customFormat="1" spans="1:27">
      <c r="A161" s="7">
        <v>46204</v>
      </c>
      <c r="B161" s="8" t="s">
        <v>416</v>
      </c>
      <c r="C161" s="8" t="s">
        <v>417</v>
      </c>
      <c r="D161" s="8" t="s">
        <v>91</v>
      </c>
      <c r="E161" s="8" t="s">
        <v>92</v>
      </c>
      <c r="F161" s="8" t="s">
        <v>93</v>
      </c>
      <c r="G161" s="9">
        <v>26724</v>
      </c>
      <c r="H161" s="9">
        <v>315</v>
      </c>
      <c r="I161" s="10">
        <v>254.53001</v>
      </c>
      <c r="J161" s="11">
        <v>254.44</v>
      </c>
      <c r="K161" s="12">
        <f t="shared" si="14"/>
        <v>0.0117871576111361</v>
      </c>
      <c r="L161" s="13">
        <f t="shared" si="15"/>
        <v>9.52439791947313</v>
      </c>
      <c r="M161" s="13">
        <f t="shared" si="16"/>
        <v>0.808031777777778</v>
      </c>
      <c r="N161" s="11">
        <v>0</v>
      </c>
      <c r="O161" s="11">
        <v>0</v>
      </c>
      <c r="P161" s="11">
        <v>259.53</v>
      </c>
      <c r="Q161" s="13">
        <f t="shared" si="17"/>
        <v>1.01964400975743</v>
      </c>
      <c r="R161" s="11">
        <v>259.53</v>
      </c>
      <c r="S161" s="13">
        <f t="shared" si="18"/>
        <v>1.01964400975743</v>
      </c>
      <c r="T161" s="9">
        <v>6414</v>
      </c>
      <c r="U161" s="13">
        <f t="shared" si="19"/>
        <v>25.1993861156097</v>
      </c>
      <c r="V161" s="12">
        <f t="shared" si="20"/>
        <v>0.240008980691513</v>
      </c>
      <c r="W161" s="17">
        <f>COUNTIFS(源数据[日期],源数据[[#This Row],[日期]],源数据[账号id],源数据[[#This Row],[账号id]])</f>
        <v>1</v>
      </c>
      <c r="X161" s="15">
        <f>IFERROR(源数据[[#This Row],[点击量]]/源数据[[#This Row],[展示量]],"")</f>
        <v>0.0117871576111361</v>
      </c>
      <c r="Y161" s="16">
        <f>IFERROR(源数据[[#This Row],[播放量]]/源数据[[#This Row],[展示量]],"")</f>
        <v>0.240008980691513</v>
      </c>
      <c r="Z161" s="16">
        <f>IFERROR(源数据[[#This Row],[三连投放总消耗(毫分)]]/源数据[[#This Row],[播放量]],"")</f>
        <v>0.0396835063922669</v>
      </c>
      <c r="AA16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62" s="2" customFormat="1" spans="1:27">
      <c r="A162" s="7">
        <v>46204</v>
      </c>
      <c r="B162" s="8" t="s">
        <v>418</v>
      </c>
      <c r="C162" s="8" t="s">
        <v>419</v>
      </c>
      <c r="D162" s="8" t="s">
        <v>91</v>
      </c>
      <c r="E162" s="8" t="s">
        <v>92</v>
      </c>
      <c r="F162" s="8" t="s">
        <v>115</v>
      </c>
      <c r="G162" s="9">
        <v>16921</v>
      </c>
      <c r="H162" s="9">
        <v>1016</v>
      </c>
      <c r="I162" s="10">
        <v>253.81802</v>
      </c>
      <c r="J162" s="11">
        <v>253.72</v>
      </c>
      <c r="K162" s="12">
        <f t="shared" si="14"/>
        <v>0.0600437326399149</v>
      </c>
      <c r="L162" s="13">
        <f t="shared" si="15"/>
        <v>15.0001784764494</v>
      </c>
      <c r="M162" s="13">
        <f t="shared" si="16"/>
        <v>0.249820885826772</v>
      </c>
      <c r="N162" s="11">
        <v>0</v>
      </c>
      <c r="O162" s="11">
        <v>0</v>
      </c>
      <c r="P162" s="11">
        <v>269.87</v>
      </c>
      <c r="Q162" s="13">
        <f t="shared" si="17"/>
        <v>1.06324208186637</v>
      </c>
      <c r="R162" s="11">
        <v>269.87</v>
      </c>
      <c r="S162" s="13">
        <f t="shared" si="18"/>
        <v>1.06324208186637</v>
      </c>
      <c r="T162" s="9">
        <v>3716</v>
      </c>
      <c r="U162" s="13">
        <f t="shared" si="19"/>
        <v>14.6404104799179</v>
      </c>
      <c r="V162" s="12">
        <f t="shared" si="20"/>
        <v>0.219608770167248</v>
      </c>
      <c r="W162" s="17">
        <f>COUNTIFS(源数据[日期],源数据[[#This Row],[日期]],源数据[账号id],源数据[[#This Row],[账号id]])</f>
        <v>1</v>
      </c>
      <c r="X162" s="15">
        <f>IFERROR(源数据[[#This Row],[点击量]]/源数据[[#This Row],[展示量]],"")</f>
        <v>0.0600437326399149</v>
      </c>
      <c r="Y162" s="16">
        <f>IFERROR(源数据[[#This Row],[播放量]]/源数据[[#This Row],[展示量]],"")</f>
        <v>0.219608770167248</v>
      </c>
      <c r="Z162" s="16">
        <f>IFERROR(源数据[[#This Row],[三连投放总消耗(毫分)]]/源数据[[#This Row],[播放量]],"")</f>
        <v>0.0683040958019376</v>
      </c>
      <c r="AA16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63" s="2" customFormat="1" spans="1:27">
      <c r="A163" s="7">
        <v>46204</v>
      </c>
      <c r="B163" s="8" t="s">
        <v>420</v>
      </c>
      <c r="C163" s="8" t="s">
        <v>421</v>
      </c>
      <c r="D163" s="8" t="s">
        <v>91</v>
      </c>
      <c r="E163" s="8" t="s">
        <v>92</v>
      </c>
      <c r="F163" s="8" t="s">
        <v>115</v>
      </c>
      <c r="G163" s="9">
        <v>30235</v>
      </c>
      <c r="H163" s="9">
        <v>1842</v>
      </c>
      <c r="I163" s="10">
        <v>250.71731</v>
      </c>
      <c r="J163" s="11">
        <v>250.61</v>
      </c>
      <c r="K163" s="12">
        <f t="shared" si="14"/>
        <v>0.060922771622292</v>
      </c>
      <c r="L163" s="13">
        <f t="shared" si="15"/>
        <v>8.29228741524723</v>
      </c>
      <c r="M163" s="13">
        <f t="shared" si="16"/>
        <v>0.136111460369164</v>
      </c>
      <c r="N163" s="11">
        <v>0</v>
      </c>
      <c r="O163" s="11">
        <v>0</v>
      </c>
      <c r="P163" s="11">
        <v>259.95</v>
      </c>
      <c r="Q163" s="13">
        <f t="shared" si="17"/>
        <v>1.03682509995022</v>
      </c>
      <c r="R163" s="11">
        <v>259.95</v>
      </c>
      <c r="S163" s="13">
        <f t="shared" si="18"/>
        <v>1.03682509995022</v>
      </c>
      <c r="T163" s="9">
        <v>7129</v>
      </c>
      <c r="U163" s="13">
        <f t="shared" si="19"/>
        <v>28.4344148395657</v>
      </c>
      <c r="V163" s="12">
        <f t="shared" si="20"/>
        <v>0.23578634033405</v>
      </c>
      <c r="W163" s="17">
        <f>COUNTIFS(源数据[日期],源数据[[#This Row],[日期]],源数据[账号id],源数据[[#This Row],[账号id]])</f>
        <v>1</v>
      </c>
      <c r="X163" s="15">
        <f>IFERROR(源数据[[#This Row],[点击量]]/源数据[[#This Row],[展示量]],"")</f>
        <v>0.060922771622292</v>
      </c>
      <c r="Y163" s="16">
        <f>IFERROR(源数据[[#This Row],[播放量]]/源数据[[#This Row],[展示量]],"")</f>
        <v>0.23578634033405</v>
      </c>
      <c r="Z163" s="16">
        <f>IFERROR(源数据[[#This Row],[三连投放总消耗(毫分)]]/源数据[[#This Row],[播放量]],"")</f>
        <v>0.0351686505821293</v>
      </c>
      <c r="AA16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64" s="2" customFormat="1" spans="1:27">
      <c r="A164" s="7">
        <v>46204</v>
      </c>
      <c r="B164" s="8" t="s">
        <v>422</v>
      </c>
      <c r="C164" s="8" t="s">
        <v>423</v>
      </c>
      <c r="D164" s="8" t="s">
        <v>91</v>
      </c>
      <c r="E164" s="8" t="s">
        <v>92</v>
      </c>
      <c r="F164" s="8" t="s">
        <v>93</v>
      </c>
      <c r="G164" s="9">
        <v>18868</v>
      </c>
      <c r="H164" s="9">
        <v>997</v>
      </c>
      <c r="I164" s="10">
        <v>249.86256</v>
      </c>
      <c r="J164" s="11">
        <v>249.74</v>
      </c>
      <c r="K164" s="12">
        <f t="shared" si="14"/>
        <v>0.0528407886368455</v>
      </c>
      <c r="L164" s="13">
        <f t="shared" si="15"/>
        <v>13.2426627093492</v>
      </c>
      <c r="M164" s="13">
        <f t="shared" si="16"/>
        <v>0.250614403209629</v>
      </c>
      <c r="N164" s="11">
        <v>0</v>
      </c>
      <c r="O164" s="11">
        <v>0</v>
      </c>
      <c r="P164" s="11">
        <v>261.03</v>
      </c>
      <c r="Q164" s="13">
        <f t="shared" si="17"/>
        <v>1.0446943311555</v>
      </c>
      <c r="R164" s="11">
        <v>261.03</v>
      </c>
      <c r="S164" s="13">
        <f t="shared" si="18"/>
        <v>1.0446943311555</v>
      </c>
      <c r="T164" s="9">
        <v>5381</v>
      </c>
      <c r="U164" s="13">
        <f t="shared" si="19"/>
        <v>21.5358395431472</v>
      </c>
      <c r="V164" s="12">
        <f t="shared" si="20"/>
        <v>0.285191859232563</v>
      </c>
      <c r="W164" s="17">
        <f>COUNTIFS(源数据[日期],源数据[[#This Row],[日期]],源数据[账号id],源数据[[#This Row],[账号id]])</f>
        <v>1</v>
      </c>
      <c r="X164" s="15">
        <f>IFERROR(源数据[[#This Row],[点击量]]/源数据[[#This Row],[展示量]],"")</f>
        <v>0.0528407886368455</v>
      </c>
      <c r="Y164" s="16">
        <f>IFERROR(源数据[[#This Row],[播放量]]/源数据[[#This Row],[展示量]],"")</f>
        <v>0.285191859232563</v>
      </c>
      <c r="Z164" s="16">
        <f>IFERROR(源数据[[#This Row],[三连投放总消耗(毫分)]]/源数据[[#This Row],[播放量]],"")</f>
        <v>0.0464342241219104</v>
      </c>
      <c r="AA16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65" s="2" customFormat="1" spans="1:27">
      <c r="A165" s="7">
        <v>46204</v>
      </c>
      <c r="B165" s="8" t="s">
        <v>424</v>
      </c>
      <c r="C165" s="8" t="s">
        <v>425</v>
      </c>
      <c r="D165" s="8" t="s">
        <v>91</v>
      </c>
      <c r="E165" s="8" t="s">
        <v>92</v>
      </c>
      <c r="F165" s="8" t="s">
        <v>115</v>
      </c>
      <c r="G165" s="9">
        <v>23961</v>
      </c>
      <c r="H165" s="9">
        <v>519</v>
      </c>
      <c r="I165" s="10">
        <v>249.66342</v>
      </c>
      <c r="J165" s="11">
        <v>249.61</v>
      </c>
      <c r="K165" s="12">
        <f t="shared" si="14"/>
        <v>0.0216601978214599</v>
      </c>
      <c r="L165" s="13">
        <f t="shared" si="15"/>
        <v>10.4195743082509</v>
      </c>
      <c r="M165" s="13">
        <f t="shared" si="16"/>
        <v>0.481047052023121</v>
      </c>
      <c r="N165" s="11">
        <v>0</v>
      </c>
      <c r="O165" s="11">
        <v>0</v>
      </c>
      <c r="P165" s="11">
        <v>236.14</v>
      </c>
      <c r="Q165" s="13">
        <f t="shared" si="17"/>
        <v>0.945833394415569</v>
      </c>
      <c r="R165" s="11">
        <v>236.14</v>
      </c>
      <c r="S165" s="13">
        <f t="shared" si="18"/>
        <v>0.945833394415569</v>
      </c>
      <c r="T165" s="9">
        <v>5377</v>
      </c>
      <c r="U165" s="13">
        <f t="shared" si="19"/>
        <v>21.5369956880347</v>
      </c>
      <c r="V165" s="12">
        <f t="shared" si="20"/>
        <v>0.224406326947957</v>
      </c>
      <c r="W165" s="17">
        <f>COUNTIFS(源数据[日期],源数据[[#This Row],[日期]],源数据[账号id],源数据[[#This Row],[账号id]])</f>
        <v>1</v>
      </c>
      <c r="X165" s="15">
        <f>IFERROR(源数据[[#This Row],[点击量]]/源数据[[#This Row],[展示量]],"")</f>
        <v>0.0216601978214599</v>
      </c>
      <c r="Y165" s="16">
        <f>IFERROR(源数据[[#This Row],[播放量]]/源数据[[#This Row],[展示量]],"")</f>
        <v>0.224406326947957</v>
      </c>
      <c r="Z165" s="16">
        <f>IFERROR(源数据[[#This Row],[三连投放总消耗(毫分)]]/源数据[[#This Row],[播放量]],"")</f>
        <v>0.0464317314487633</v>
      </c>
      <c r="AA16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66" s="2" customFormat="1" spans="1:27">
      <c r="A166" s="7">
        <v>46204</v>
      </c>
      <c r="B166" s="8" t="s">
        <v>426</v>
      </c>
      <c r="C166" s="8" t="s">
        <v>427</v>
      </c>
      <c r="D166" s="8" t="s">
        <v>91</v>
      </c>
      <c r="E166" s="8" t="s">
        <v>92</v>
      </c>
      <c r="F166" s="8" t="s">
        <v>93</v>
      </c>
      <c r="G166" s="9">
        <v>14630</v>
      </c>
      <c r="H166" s="9">
        <v>860</v>
      </c>
      <c r="I166" s="10">
        <v>241.26771</v>
      </c>
      <c r="J166" s="11">
        <v>241.15</v>
      </c>
      <c r="K166" s="12">
        <f t="shared" si="14"/>
        <v>0.0587833219412167</v>
      </c>
      <c r="L166" s="13">
        <f t="shared" si="15"/>
        <v>16.4912993848257</v>
      </c>
      <c r="M166" s="13">
        <f t="shared" si="16"/>
        <v>0.280543848837209</v>
      </c>
      <c r="N166" s="11">
        <v>0</v>
      </c>
      <c r="O166" s="11">
        <v>0</v>
      </c>
      <c r="P166" s="11">
        <v>249.29</v>
      </c>
      <c r="Q166" s="13">
        <f t="shared" si="17"/>
        <v>1.03325057464175</v>
      </c>
      <c r="R166" s="11">
        <v>249.29</v>
      </c>
      <c r="S166" s="13">
        <f t="shared" si="18"/>
        <v>1.03325057464175</v>
      </c>
      <c r="T166" s="9">
        <v>3320</v>
      </c>
      <c r="U166" s="13">
        <f t="shared" si="19"/>
        <v>13.7606478711967</v>
      </c>
      <c r="V166" s="12">
        <f t="shared" si="20"/>
        <v>0.226930963773069</v>
      </c>
      <c r="W166" s="17">
        <f>COUNTIFS(源数据[日期],源数据[[#This Row],[日期]],源数据[账号id],源数据[[#This Row],[账号id]])</f>
        <v>1</v>
      </c>
      <c r="X166" s="15">
        <f>IFERROR(源数据[[#This Row],[点击量]]/源数据[[#This Row],[展示量]],"")</f>
        <v>0.0587833219412167</v>
      </c>
      <c r="Y166" s="16">
        <f>IFERROR(源数据[[#This Row],[播放量]]/源数据[[#This Row],[展示量]],"")</f>
        <v>0.226930963773069</v>
      </c>
      <c r="Z166" s="16">
        <f>IFERROR(源数据[[#This Row],[三连投放总消耗(毫分)]]/源数据[[#This Row],[播放量]],"")</f>
        <v>0.0726709969879518</v>
      </c>
      <c r="AA16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67" s="2" customFormat="1" spans="1:27">
      <c r="A167" s="7">
        <v>46204</v>
      </c>
      <c r="B167" s="8" t="s">
        <v>428</v>
      </c>
      <c r="C167" s="8" t="s">
        <v>429</v>
      </c>
      <c r="D167" s="8" t="s">
        <v>91</v>
      </c>
      <c r="E167" s="8" t="s">
        <v>92</v>
      </c>
      <c r="F167" s="8" t="s">
        <v>101</v>
      </c>
      <c r="G167" s="9">
        <v>32578</v>
      </c>
      <c r="H167" s="9">
        <v>273</v>
      </c>
      <c r="I167" s="10">
        <v>240.48821</v>
      </c>
      <c r="J167" s="11">
        <v>240.37</v>
      </c>
      <c r="K167" s="12">
        <f t="shared" si="14"/>
        <v>0.00837988826815642</v>
      </c>
      <c r="L167" s="13">
        <f t="shared" si="15"/>
        <v>7.38192062127816</v>
      </c>
      <c r="M167" s="13">
        <f t="shared" si="16"/>
        <v>0.880909194139194</v>
      </c>
      <c r="N167" s="11">
        <v>0</v>
      </c>
      <c r="O167" s="11">
        <v>0</v>
      </c>
      <c r="P167" s="11">
        <v>237.63</v>
      </c>
      <c r="Q167" s="13">
        <f t="shared" si="17"/>
        <v>0.988114968297198</v>
      </c>
      <c r="R167" s="11">
        <v>237.63</v>
      </c>
      <c r="S167" s="13">
        <f t="shared" si="18"/>
        <v>0.988114968297198</v>
      </c>
      <c r="T167" s="9">
        <v>7164</v>
      </c>
      <c r="U167" s="13">
        <f t="shared" si="19"/>
        <v>29.7894021499017</v>
      </c>
      <c r="V167" s="12">
        <f t="shared" si="20"/>
        <v>0.219903002025907</v>
      </c>
      <c r="W167" s="17">
        <f>COUNTIFS(源数据[日期],源数据[[#This Row],[日期]],源数据[账号id],源数据[[#This Row],[账号id]])</f>
        <v>1</v>
      </c>
      <c r="X167" s="15">
        <f>IFERROR(源数据[[#This Row],[点击量]]/源数据[[#This Row],[展示量]],"")</f>
        <v>0.00837988826815642</v>
      </c>
      <c r="Y167" s="16">
        <f>IFERROR(源数据[[#This Row],[播放量]]/源数据[[#This Row],[展示量]],"")</f>
        <v>0.219903002025907</v>
      </c>
      <c r="Z167" s="16">
        <f>IFERROR(源数据[[#This Row],[三连投放总消耗(毫分)]]/源数据[[#This Row],[播放量]],"")</f>
        <v>0.0335689852037968</v>
      </c>
      <c r="AA16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68" s="2" customFormat="1" spans="1:27">
      <c r="A168" s="7">
        <v>46204</v>
      </c>
      <c r="B168" s="8" t="s">
        <v>430</v>
      </c>
      <c r="C168" s="8" t="s">
        <v>431</v>
      </c>
      <c r="D168" s="8" t="s">
        <v>91</v>
      </c>
      <c r="E168" s="8" t="s">
        <v>92</v>
      </c>
      <c r="F168" s="8" t="s">
        <v>101</v>
      </c>
      <c r="G168" s="9">
        <v>29654</v>
      </c>
      <c r="H168" s="9">
        <v>449</v>
      </c>
      <c r="I168" s="10">
        <v>237.9581</v>
      </c>
      <c r="J168" s="11">
        <v>237.86</v>
      </c>
      <c r="K168" s="12">
        <f t="shared" si="14"/>
        <v>0.0151412962838066</v>
      </c>
      <c r="L168" s="13">
        <f t="shared" si="15"/>
        <v>8.02448573548257</v>
      </c>
      <c r="M168" s="13">
        <f t="shared" si="16"/>
        <v>0.529973496659243</v>
      </c>
      <c r="N168" s="11">
        <v>0</v>
      </c>
      <c r="O168" s="11">
        <v>0</v>
      </c>
      <c r="P168" s="11">
        <v>237.1</v>
      </c>
      <c r="Q168" s="13">
        <f t="shared" si="17"/>
        <v>0.996393902960227</v>
      </c>
      <c r="R168" s="11">
        <v>237.1</v>
      </c>
      <c r="S168" s="13">
        <f t="shared" si="18"/>
        <v>0.996393902960227</v>
      </c>
      <c r="T168" s="9">
        <v>6096</v>
      </c>
      <c r="U168" s="13">
        <f t="shared" si="19"/>
        <v>25.6179554299686</v>
      </c>
      <c r="V168" s="12">
        <f t="shared" si="20"/>
        <v>0.205570917920011</v>
      </c>
      <c r="W168" s="17">
        <f>COUNTIFS(源数据[日期],源数据[[#This Row],[日期]],源数据[账号id],源数据[[#This Row],[账号id]])</f>
        <v>1</v>
      </c>
      <c r="X168" s="15">
        <f>IFERROR(源数据[[#This Row],[点击量]]/源数据[[#This Row],[展示量]],"")</f>
        <v>0.0151412962838066</v>
      </c>
      <c r="Y168" s="16">
        <f>IFERROR(源数据[[#This Row],[播放量]]/源数据[[#This Row],[展示量]],"")</f>
        <v>0.205570917920011</v>
      </c>
      <c r="Z168" s="16">
        <f>IFERROR(源数据[[#This Row],[三连投放总消耗(毫分)]]/源数据[[#This Row],[播放量]],"")</f>
        <v>0.0390351213910761</v>
      </c>
      <c r="AA16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69" s="2" customFormat="1" spans="1:27">
      <c r="A169" s="7">
        <v>46204</v>
      </c>
      <c r="B169" s="8" t="s">
        <v>432</v>
      </c>
      <c r="C169" s="8" t="s">
        <v>433</v>
      </c>
      <c r="D169" s="8" t="s">
        <v>91</v>
      </c>
      <c r="E169" s="8" t="s">
        <v>92</v>
      </c>
      <c r="F169" s="8" t="s">
        <v>213</v>
      </c>
      <c r="G169" s="9">
        <v>28285</v>
      </c>
      <c r="H169" s="9">
        <v>1119</v>
      </c>
      <c r="I169" s="10">
        <v>232.08135</v>
      </c>
      <c r="J169" s="11">
        <v>231.99</v>
      </c>
      <c r="K169" s="12">
        <f t="shared" si="14"/>
        <v>0.0395616050910376</v>
      </c>
      <c r="L169" s="13">
        <f t="shared" si="15"/>
        <v>8.20510341170231</v>
      </c>
      <c r="M169" s="13">
        <f t="shared" si="16"/>
        <v>0.207400670241287</v>
      </c>
      <c r="N169" s="11">
        <v>0</v>
      </c>
      <c r="O169" s="11">
        <v>0</v>
      </c>
      <c r="P169" s="11">
        <v>228.49</v>
      </c>
      <c r="Q169" s="13">
        <f t="shared" si="17"/>
        <v>0.984525469194315</v>
      </c>
      <c r="R169" s="11">
        <v>228.49</v>
      </c>
      <c r="S169" s="13">
        <f t="shared" si="18"/>
        <v>0.984525469194315</v>
      </c>
      <c r="T169" s="9">
        <v>8043</v>
      </c>
      <c r="U169" s="13">
        <f t="shared" si="19"/>
        <v>34.6559514584003</v>
      </c>
      <c r="V169" s="12">
        <f t="shared" si="20"/>
        <v>0.28435566554711</v>
      </c>
      <c r="W169" s="17">
        <f>COUNTIFS(源数据[日期],源数据[[#This Row],[日期]],源数据[账号id],源数据[[#This Row],[账号id]])</f>
        <v>1</v>
      </c>
      <c r="X169" s="15">
        <f>IFERROR(源数据[[#This Row],[点击量]]/源数据[[#This Row],[展示量]],"")</f>
        <v>0.0395616050910376</v>
      </c>
      <c r="Y169" s="16">
        <f>IFERROR(源数据[[#This Row],[播放量]]/源数据[[#This Row],[展示量]],"")</f>
        <v>0.28435566554711</v>
      </c>
      <c r="Z169" s="16">
        <f>IFERROR(源数据[[#This Row],[三连投放总消耗(毫分)]]/源数据[[#This Row],[播放量]],"")</f>
        <v>0.0288550727340545</v>
      </c>
      <c r="AA16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70" s="2" customFormat="1" spans="1:27">
      <c r="A170" s="7">
        <v>46204</v>
      </c>
      <c r="B170" s="8" t="s">
        <v>434</v>
      </c>
      <c r="C170" s="8" t="s">
        <v>435</v>
      </c>
      <c r="D170" s="8" t="s">
        <v>91</v>
      </c>
      <c r="E170" s="8" t="s">
        <v>92</v>
      </c>
      <c r="F170" s="8" t="s">
        <v>101</v>
      </c>
      <c r="G170" s="9">
        <v>23188</v>
      </c>
      <c r="H170" s="9">
        <v>783</v>
      </c>
      <c r="I170" s="10">
        <v>229.68256</v>
      </c>
      <c r="J170" s="11">
        <v>229.59</v>
      </c>
      <c r="K170" s="12">
        <f t="shared" si="14"/>
        <v>0.0337674659306538</v>
      </c>
      <c r="L170" s="13">
        <f t="shared" si="15"/>
        <v>9.90523374159048</v>
      </c>
      <c r="M170" s="13">
        <f t="shared" si="16"/>
        <v>0.293336602809706</v>
      </c>
      <c r="N170" s="11">
        <v>0</v>
      </c>
      <c r="O170" s="11">
        <v>0</v>
      </c>
      <c r="P170" s="11">
        <v>235.34</v>
      </c>
      <c r="Q170" s="13">
        <f t="shared" si="17"/>
        <v>1.0246315610554</v>
      </c>
      <c r="R170" s="11">
        <v>235.34</v>
      </c>
      <c r="S170" s="13">
        <f t="shared" si="18"/>
        <v>1.0246315610554</v>
      </c>
      <c r="T170" s="9">
        <v>5123</v>
      </c>
      <c r="U170" s="13">
        <f t="shared" si="19"/>
        <v>22.3046974049749</v>
      </c>
      <c r="V170" s="12">
        <f t="shared" si="20"/>
        <v>0.220933241331723</v>
      </c>
      <c r="W170" s="17">
        <f>COUNTIFS(源数据[日期],源数据[[#This Row],[日期]],源数据[账号id],源数据[[#This Row],[账号id]])</f>
        <v>1</v>
      </c>
      <c r="X170" s="15">
        <f>IFERROR(源数据[[#This Row],[点击量]]/源数据[[#This Row],[展示量]],"")</f>
        <v>0.0337674659306538</v>
      </c>
      <c r="Y170" s="16">
        <f>IFERROR(源数据[[#This Row],[播放量]]/源数据[[#This Row],[展示量]],"")</f>
        <v>0.220933241331723</v>
      </c>
      <c r="Z170" s="16">
        <f>IFERROR(源数据[[#This Row],[三连投放总消耗(毫分)]]/源数据[[#This Row],[播放量]],"")</f>
        <v>0.044833605309389</v>
      </c>
      <c r="AA17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71" s="2" customFormat="1" spans="1:27">
      <c r="A171" s="7">
        <v>46204</v>
      </c>
      <c r="B171" s="8" t="s">
        <v>436</v>
      </c>
      <c r="C171" s="8" t="s">
        <v>437</v>
      </c>
      <c r="D171" s="8" t="s">
        <v>91</v>
      </c>
      <c r="E171" s="8" t="s">
        <v>92</v>
      </c>
      <c r="F171" s="8" t="s">
        <v>101</v>
      </c>
      <c r="G171" s="9">
        <v>18293</v>
      </c>
      <c r="H171" s="9">
        <v>426</v>
      </c>
      <c r="I171" s="10">
        <v>228.34604</v>
      </c>
      <c r="J171" s="11">
        <v>228.27</v>
      </c>
      <c r="K171" s="12">
        <f t="shared" si="14"/>
        <v>0.02328759634833</v>
      </c>
      <c r="L171" s="13">
        <f t="shared" si="15"/>
        <v>12.4827004865249</v>
      </c>
      <c r="M171" s="13">
        <f t="shared" si="16"/>
        <v>0.536023568075117</v>
      </c>
      <c r="N171" s="11">
        <v>0</v>
      </c>
      <c r="O171" s="11">
        <v>0</v>
      </c>
      <c r="P171" s="11">
        <v>211.34</v>
      </c>
      <c r="Q171" s="13">
        <f t="shared" si="17"/>
        <v>0.925525137199664</v>
      </c>
      <c r="R171" s="11">
        <v>211.34</v>
      </c>
      <c r="S171" s="13">
        <f t="shared" si="18"/>
        <v>0.925525137199664</v>
      </c>
      <c r="T171" s="9">
        <v>3618</v>
      </c>
      <c r="U171" s="13">
        <f t="shared" si="19"/>
        <v>15.8443737408365</v>
      </c>
      <c r="V171" s="12">
        <f t="shared" si="20"/>
        <v>0.197780571803422</v>
      </c>
      <c r="W171" s="17">
        <f>COUNTIFS(源数据[日期],源数据[[#This Row],[日期]],源数据[账号id],源数据[[#This Row],[账号id]])</f>
        <v>1</v>
      </c>
      <c r="X171" s="15">
        <f>IFERROR(源数据[[#This Row],[点击量]]/源数据[[#This Row],[展示量]],"")</f>
        <v>0.02328759634833</v>
      </c>
      <c r="Y171" s="16">
        <f>IFERROR(源数据[[#This Row],[播放量]]/源数据[[#This Row],[展示量]],"")</f>
        <v>0.197780571803422</v>
      </c>
      <c r="Z171" s="16">
        <f>IFERROR(源数据[[#This Row],[三连投放总消耗(毫分)]]/源数据[[#This Row],[播放量]],"")</f>
        <v>0.0631138861249309</v>
      </c>
      <c r="AA17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72" s="2" customFormat="1" spans="1:27">
      <c r="A172" s="7">
        <v>46204</v>
      </c>
      <c r="B172" s="8" t="s">
        <v>438</v>
      </c>
      <c r="C172" s="8" t="s">
        <v>439</v>
      </c>
      <c r="D172" s="8" t="s">
        <v>91</v>
      </c>
      <c r="E172" s="8" t="s">
        <v>92</v>
      </c>
      <c r="F172" s="8" t="s">
        <v>96</v>
      </c>
      <c r="G172" s="9">
        <v>23924</v>
      </c>
      <c r="H172" s="9">
        <v>479</v>
      </c>
      <c r="I172" s="10">
        <v>228.00167</v>
      </c>
      <c r="J172" s="11">
        <v>227.9</v>
      </c>
      <c r="K172" s="12">
        <f t="shared" si="14"/>
        <v>0.0200217354957365</v>
      </c>
      <c r="L172" s="13">
        <f t="shared" si="15"/>
        <v>9.53024870423006</v>
      </c>
      <c r="M172" s="13">
        <f t="shared" si="16"/>
        <v>0.475995135699374</v>
      </c>
      <c r="N172" s="11">
        <v>0</v>
      </c>
      <c r="O172" s="11">
        <v>0</v>
      </c>
      <c r="P172" s="11">
        <v>217.86</v>
      </c>
      <c r="Q172" s="13">
        <f t="shared" si="17"/>
        <v>0.955519317029564</v>
      </c>
      <c r="R172" s="11">
        <v>217.86</v>
      </c>
      <c r="S172" s="13">
        <f t="shared" si="18"/>
        <v>0.955519317029564</v>
      </c>
      <c r="T172" s="9">
        <v>5004</v>
      </c>
      <c r="U172" s="13">
        <f t="shared" si="19"/>
        <v>21.9472076673824</v>
      </c>
      <c r="V172" s="12">
        <f t="shared" si="20"/>
        <v>0.20916234743354</v>
      </c>
      <c r="W172" s="17">
        <f>COUNTIFS(源数据[日期],源数据[[#This Row],[日期]],源数据[账号id],源数据[[#This Row],[账号id]])</f>
        <v>1</v>
      </c>
      <c r="X172" s="15">
        <f>IFERROR(源数据[[#This Row],[点击量]]/源数据[[#This Row],[展示量]],"")</f>
        <v>0.0200217354957365</v>
      </c>
      <c r="Y172" s="16">
        <f>IFERROR(源数据[[#This Row],[播放量]]/源数据[[#This Row],[展示量]],"")</f>
        <v>0.20916234743354</v>
      </c>
      <c r="Z172" s="16">
        <f>IFERROR(源数据[[#This Row],[三连投放总消耗(毫分)]]/源数据[[#This Row],[播放量]],"")</f>
        <v>0.045563882893685</v>
      </c>
      <c r="AA17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73" s="2" customFormat="1" spans="1:27">
      <c r="A173" s="7">
        <v>46204</v>
      </c>
      <c r="B173" s="8" t="s">
        <v>440</v>
      </c>
      <c r="C173" s="8" t="s">
        <v>441</v>
      </c>
      <c r="D173" s="8" t="s">
        <v>91</v>
      </c>
      <c r="E173" s="8" t="s">
        <v>92</v>
      </c>
      <c r="F173" s="8" t="s">
        <v>115</v>
      </c>
      <c r="G173" s="9">
        <v>15360</v>
      </c>
      <c r="H173" s="9">
        <v>1172</v>
      </c>
      <c r="I173" s="10">
        <v>223.92205</v>
      </c>
      <c r="J173" s="11">
        <v>223.8</v>
      </c>
      <c r="K173" s="12">
        <f t="shared" si="14"/>
        <v>0.0763020833333333</v>
      </c>
      <c r="L173" s="13">
        <f t="shared" si="15"/>
        <v>14.5782584635417</v>
      </c>
      <c r="M173" s="13">
        <f t="shared" si="16"/>
        <v>0.191059769624573</v>
      </c>
      <c r="N173" s="11">
        <v>0</v>
      </c>
      <c r="O173" s="11">
        <v>0</v>
      </c>
      <c r="P173" s="11">
        <v>255.36</v>
      </c>
      <c r="Q173" s="13">
        <f t="shared" si="17"/>
        <v>1.14039684792096</v>
      </c>
      <c r="R173" s="11">
        <v>255.36</v>
      </c>
      <c r="S173" s="13">
        <f t="shared" si="18"/>
        <v>1.14039684792096</v>
      </c>
      <c r="T173" s="9">
        <v>3236</v>
      </c>
      <c r="U173" s="13">
        <f t="shared" si="19"/>
        <v>14.451457549625</v>
      </c>
      <c r="V173" s="12">
        <f t="shared" si="20"/>
        <v>0.210677083333333</v>
      </c>
      <c r="W173" s="17">
        <f>COUNTIFS(源数据[日期],源数据[[#This Row],[日期]],源数据[账号id],源数据[[#This Row],[账号id]])</f>
        <v>1</v>
      </c>
      <c r="X173" s="15">
        <f>IFERROR(源数据[[#This Row],[点击量]]/源数据[[#This Row],[展示量]],"")</f>
        <v>0.0763020833333333</v>
      </c>
      <c r="Y173" s="16">
        <f>IFERROR(源数据[[#This Row],[播放量]]/源数据[[#This Row],[展示量]],"")</f>
        <v>0.210677083333333</v>
      </c>
      <c r="Z173" s="16">
        <f>IFERROR(源数据[[#This Row],[三连投放总消耗(毫分)]]/源数据[[#This Row],[播放量]],"")</f>
        <v>0.0691971724351051</v>
      </c>
      <c r="AA17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74" s="2" customFormat="1" spans="1:27">
      <c r="A174" s="7">
        <v>46204</v>
      </c>
      <c r="B174" s="8" t="s">
        <v>442</v>
      </c>
      <c r="C174" s="8" t="s">
        <v>443</v>
      </c>
      <c r="D174" s="8" t="s">
        <v>91</v>
      </c>
      <c r="E174" s="8" t="s">
        <v>92</v>
      </c>
      <c r="F174" s="8" t="s">
        <v>115</v>
      </c>
      <c r="G174" s="9">
        <v>40305</v>
      </c>
      <c r="H174" s="9">
        <v>899</v>
      </c>
      <c r="I174" s="10">
        <v>220.38431</v>
      </c>
      <c r="J174" s="11">
        <v>220.31</v>
      </c>
      <c r="K174" s="12">
        <f t="shared" si="14"/>
        <v>0.022304924947277</v>
      </c>
      <c r="L174" s="13">
        <f t="shared" si="15"/>
        <v>5.46791489889592</v>
      </c>
      <c r="M174" s="13">
        <f t="shared" si="16"/>
        <v>0.24514383759733</v>
      </c>
      <c r="N174" s="11">
        <v>0</v>
      </c>
      <c r="O174" s="11">
        <v>0</v>
      </c>
      <c r="P174" s="11">
        <v>219.55</v>
      </c>
      <c r="Q174" s="13">
        <f t="shared" si="17"/>
        <v>0.996214294928709</v>
      </c>
      <c r="R174" s="11">
        <v>219.55</v>
      </c>
      <c r="S174" s="13">
        <f t="shared" si="18"/>
        <v>0.996214294928709</v>
      </c>
      <c r="T174" s="9">
        <v>5060</v>
      </c>
      <c r="U174" s="13">
        <f t="shared" si="19"/>
        <v>22.9598921992223</v>
      </c>
      <c r="V174" s="12">
        <f t="shared" si="20"/>
        <v>0.125542736633172</v>
      </c>
      <c r="W174" s="17">
        <f>COUNTIFS(源数据[日期],源数据[[#This Row],[日期]],源数据[账号id],源数据[[#This Row],[账号id]])</f>
        <v>1</v>
      </c>
      <c r="X174" s="15">
        <f>IFERROR(源数据[[#This Row],[点击量]]/源数据[[#This Row],[展示量]],"")</f>
        <v>0.022304924947277</v>
      </c>
      <c r="Y174" s="16">
        <f>IFERROR(源数据[[#This Row],[播放量]]/源数据[[#This Row],[展示量]],"")</f>
        <v>0.125542736633172</v>
      </c>
      <c r="Z174" s="16">
        <f>IFERROR(源数据[[#This Row],[三连投放总消耗(毫分)]]/源数据[[#This Row],[播放量]],"")</f>
        <v>0.0435542114624506</v>
      </c>
      <c r="AA17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75" s="2" customFormat="1" spans="1:27">
      <c r="A175" s="7">
        <v>46204</v>
      </c>
      <c r="B175" s="8" t="s">
        <v>444</v>
      </c>
      <c r="C175" s="8" t="s">
        <v>445</v>
      </c>
      <c r="D175" s="8" t="s">
        <v>91</v>
      </c>
      <c r="E175" s="8" t="s">
        <v>92</v>
      </c>
      <c r="F175" s="8" t="s">
        <v>115</v>
      </c>
      <c r="G175" s="9">
        <v>31522</v>
      </c>
      <c r="H175" s="9">
        <v>638</v>
      </c>
      <c r="I175" s="10">
        <v>213.46321</v>
      </c>
      <c r="J175" s="11">
        <v>213.37</v>
      </c>
      <c r="K175" s="12">
        <f t="shared" si="14"/>
        <v>0.0202398324979379</v>
      </c>
      <c r="L175" s="13">
        <f t="shared" si="15"/>
        <v>6.77188027409428</v>
      </c>
      <c r="M175" s="13">
        <f t="shared" si="16"/>
        <v>0.334581833855799</v>
      </c>
      <c r="N175" s="11">
        <v>0</v>
      </c>
      <c r="O175" s="11">
        <v>0</v>
      </c>
      <c r="P175" s="11">
        <v>210.14</v>
      </c>
      <c r="Q175" s="13">
        <f t="shared" si="17"/>
        <v>0.984431930916808</v>
      </c>
      <c r="R175" s="11">
        <v>210.14</v>
      </c>
      <c r="S175" s="13">
        <f t="shared" si="18"/>
        <v>0.984431930916808</v>
      </c>
      <c r="T175" s="9">
        <v>4401</v>
      </c>
      <c r="U175" s="13">
        <f t="shared" si="19"/>
        <v>20.6171358521218</v>
      </c>
      <c r="V175" s="12">
        <f t="shared" si="20"/>
        <v>0.139616775585305</v>
      </c>
      <c r="W175" s="17">
        <f>COUNTIFS(源数据[日期],源数据[[#This Row],[日期]],源数据[账号id],源数据[[#This Row],[账号id]])</f>
        <v>1</v>
      </c>
      <c r="X175" s="15">
        <f>IFERROR(源数据[[#This Row],[点击量]]/源数据[[#This Row],[展示量]],"")</f>
        <v>0.0202398324979379</v>
      </c>
      <c r="Y175" s="16">
        <f>IFERROR(源数据[[#This Row],[播放量]]/源数据[[#This Row],[展示量]],"")</f>
        <v>0.139616775585305</v>
      </c>
      <c r="Z175" s="16">
        <f>IFERROR(源数据[[#This Row],[三连投放总消耗(毫分)]]/源数据[[#This Row],[播放量]],"")</f>
        <v>0.0485033424221768</v>
      </c>
      <c r="AA17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76" s="2" customFormat="1" spans="1:27">
      <c r="A176" s="7">
        <v>46204</v>
      </c>
      <c r="B176" s="8" t="s">
        <v>446</v>
      </c>
      <c r="C176" s="8" t="s">
        <v>447</v>
      </c>
      <c r="D176" s="8" t="s">
        <v>91</v>
      </c>
      <c r="E176" s="8" t="s">
        <v>92</v>
      </c>
      <c r="F176" s="8" t="s">
        <v>96</v>
      </c>
      <c r="G176" s="9">
        <v>210814</v>
      </c>
      <c r="H176" s="9">
        <v>670</v>
      </c>
      <c r="I176" s="10">
        <v>205.08926</v>
      </c>
      <c r="J176" s="11">
        <v>204.97</v>
      </c>
      <c r="K176" s="12">
        <f t="shared" si="14"/>
        <v>0.00317815704839337</v>
      </c>
      <c r="L176" s="13">
        <f t="shared" si="15"/>
        <v>0.972844592863851</v>
      </c>
      <c r="M176" s="13">
        <f t="shared" si="16"/>
        <v>0.306103373134328</v>
      </c>
      <c r="N176" s="11">
        <v>0</v>
      </c>
      <c r="O176" s="11">
        <v>0</v>
      </c>
      <c r="P176" s="11">
        <v>212.98</v>
      </c>
      <c r="Q176" s="13">
        <f t="shared" si="17"/>
        <v>1.03847466220318</v>
      </c>
      <c r="R176" s="11">
        <v>212.98</v>
      </c>
      <c r="S176" s="13">
        <f t="shared" si="18"/>
        <v>1.03847466220318</v>
      </c>
      <c r="T176" s="9">
        <v>5277</v>
      </c>
      <c r="U176" s="13">
        <f t="shared" si="19"/>
        <v>25.7302600828537</v>
      </c>
      <c r="V176" s="12">
        <f t="shared" si="20"/>
        <v>0.0250315443945848</v>
      </c>
      <c r="W176" s="17">
        <f>COUNTIFS(源数据[日期],源数据[[#This Row],[日期]],源数据[账号id],源数据[[#This Row],[账号id]])</f>
        <v>1</v>
      </c>
      <c r="X176" s="15">
        <f>IFERROR(源数据[[#This Row],[点击量]]/源数据[[#This Row],[展示量]],"")</f>
        <v>0.00317815704839337</v>
      </c>
      <c r="Y176" s="16">
        <f>IFERROR(源数据[[#This Row],[播放量]]/源数据[[#This Row],[展示量]],"")</f>
        <v>0.0250315443945848</v>
      </c>
      <c r="Z176" s="16">
        <f>IFERROR(源数据[[#This Row],[三连投放总消耗(毫分)]]/源数据[[#This Row],[播放量]],"")</f>
        <v>0.0388647451203335</v>
      </c>
      <c r="AA17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77" s="2" customFormat="1" spans="1:27">
      <c r="A177" s="7">
        <v>46204</v>
      </c>
      <c r="B177" s="8" t="s">
        <v>448</v>
      </c>
      <c r="C177" s="8" t="s">
        <v>449</v>
      </c>
      <c r="D177" s="8" t="s">
        <v>91</v>
      </c>
      <c r="E177" s="8" t="s">
        <v>92</v>
      </c>
      <c r="F177" s="8" t="s">
        <v>93</v>
      </c>
      <c r="G177" s="9">
        <v>13864</v>
      </c>
      <c r="H177" s="9">
        <v>549</v>
      </c>
      <c r="I177" s="10">
        <v>204.25289</v>
      </c>
      <c r="J177" s="11">
        <v>204.15</v>
      </c>
      <c r="K177" s="12">
        <f t="shared" si="14"/>
        <v>0.039598961338719</v>
      </c>
      <c r="L177" s="13">
        <f t="shared" si="15"/>
        <v>14.732608915176</v>
      </c>
      <c r="M177" s="13">
        <f t="shared" si="16"/>
        <v>0.372045336976321</v>
      </c>
      <c r="N177" s="11">
        <v>0</v>
      </c>
      <c r="O177" s="11">
        <v>0</v>
      </c>
      <c r="P177" s="11">
        <v>192.53</v>
      </c>
      <c r="Q177" s="13">
        <f t="shared" si="17"/>
        <v>0.942606001804919</v>
      </c>
      <c r="R177" s="11">
        <v>192.53</v>
      </c>
      <c r="S177" s="13">
        <f t="shared" si="18"/>
        <v>0.942606001804919</v>
      </c>
      <c r="T177" s="9">
        <v>3151</v>
      </c>
      <c r="U177" s="13">
        <f t="shared" si="19"/>
        <v>15.4269543016013</v>
      </c>
      <c r="V177" s="12">
        <f t="shared" si="20"/>
        <v>0.227279284477784</v>
      </c>
      <c r="W177" s="17">
        <f>COUNTIFS(源数据[日期],源数据[[#This Row],[日期]],源数据[账号id],源数据[[#This Row],[账号id]])</f>
        <v>1</v>
      </c>
      <c r="X177" s="15">
        <f>IFERROR(源数据[[#This Row],[点击量]]/源数据[[#This Row],[展示量]],"")</f>
        <v>0.039598961338719</v>
      </c>
      <c r="Y177" s="16">
        <f>IFERROR(源数据[[#This Row],[播放量]]/源数据[[#This Row],[展示量]],"")</f>
        <v>0.227279284477784</v>
      </c>
      <c r="Z177" s="16">
        <f>IFERROR(源数据[[#This Row],[三连投放总消耗(毫分)]]/源数据[[#This Row],[播放量]],"")</f>
        <v>0.0648216090130117</v>
      </c>
      <c r="AA17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78" s="2" customFormat="1" spans="1:27">
      <c r="A178" s="7">
        <v>46204</v>
      </c>
      <c r="B178" s="8" t="s">
        <v>450</v>
      </c>
      <c r="C178" s="8" t="s">
        <v>451</v>
      </c>
      <c r="D178" s="8" t="s">
        <v>91</v>
      </c>
      <c r="E178" s="8" t="s">
        <v>92</v>
      </c>
      <c r="F178" s="8" t="s">
        <v>93</v>
      </c>
      <c r="G178" s="9">
        <v>20297</v>
      </c>
      <c r="H178" s="9">
        <v>513</v>
      </c>
      <c r="I178" s="10">
        <v>200.07373</v>
      </c>
      <c r="J178" s="11">
        <v>200.02</v>
      </c>
      <c r="K178" s="12">
        <f t="shared" si="14"/>
        <v>0.0252746711336651</v>
      </c>
      <c r="L178" s="13">
        <f t="shared" si="15"/>
        <v>9.85730551313002</v>
      </c>
      <c r="M178" s="13">
        <f t="shared" si="16"/>
        <v>0.390007270955166</v>
      </c>
      <c r="N178" s="11">
        <v>0</v>
      </c>
      <c r="O178" s="11">
        <v>0</v>
      </c>
      <c r="P178" s="11">
        <v>180.53</v>
      </c>
      <c r="Q178" s="13">
        <f t="shared" si="17"/>
        <v>0.902317360704976</v>
      </c>
      <c r="R178" s="11">
        <v>180.53</v>
      </c>
      <c r="S178" s="13">
        <f t="shared" si="18"/>
        <v>0.902317360704976</v>
      </c>
      <c r="T178" s="9">
        <v>4627</v>
      </c>
      <c r="U178" s="13">
        <f t="shared" si="19"/>
        <v>23.1264744252031</v>
      </c>
      <c r="V178" s="12">
        <f t="shared" si="20"/>
        <v>0.227964723850815</v>
      </c>
      <c r="W178" s="17">
        <f>COUNTIFS(源数据[日期],源数据[[#This Row],[日期]],源数据[账号id],源数据[[#This Row],[账号id]])</f>
        <v>1</v>
      </c>
      <c r="X178" s="15">
        <f>IFERROR(源数据[[#This Row],[点击量]]/源数据[[#This Row],[展示量]],"")</f>
        <v>0.0252746711336651</v>
      </c>
      <c r="Y178" s="16">
        <f>IFERROR(源数据[[#This Row],[播放量]]/源数据[[#This Row],[展示量]],"")</f>
        <v>0.227964723850815</v>
      </c>
      <c r="Z178" s="16">
        <f>IFERROR(源数据[[#This Row],[三连投放总消耗(毫分)]]/源数据[[#This Row],[播放量]],"")</f>
        <v>0.0432404862762049</v>
      </c>
      <c r="AA17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79" s="2" customFormat="1" spans="1:27">
      <c r="A179" s="7">
        <v>46204</v>
      </c>
      <c r="B179" s="8" t="s">
        <v>452</v>
      </c>
      <c r="C179" s="8" t="s">
        <v>453</v>
      </c>
      <c r="D179" s="8" t="s">
        <v>91</v>
      </c>
      <c r="E179" s="8" t="s">
        <v>92</v>
      </c>
      <c r="F179" s="8" t="s">
        <v>93</v>
      </c>
      <c r="G179" s="9">
        <v>15112</v>
      </c>
      <c r="H179" s="9">
        <v>716</v>
      </c>
      <c r="I179" s="10">
        <v>198.90488</v>
      </c>
      <c r="J179" s="11">
        <v>198.81</v>
      </c>
      <c r="K179" s="12">
        <f t="shared" si="14"/>
        <v>0.0473795659078878</v>
      </c>
      <c r="L179" s="13">
        <f t="shared" si="15"/>
        <v>13.1620487030175</v>
      </c>
      <c r="M179" s="13">
        <f t="shared" si="16"/>
        <v>0.277800111731844</v>
      </c>
      <c r="N179" s="11">
        <v>0</v>
      </c>
      <c r="O179" s="11">
        <v>0</v>
      </c>
      <c r="P179" s="11">
        <v>202.74</v>
      </c>
      <c r="Q179" s="13">
        <f t="shared" si="17"/>
        <v>1.01928117600735</v>
      </c>
      <c r="R179" s="11">
        <v>202.74</v>
      </c>
      <c r="S179" s="13">
        <f t="shared" si="18"/>
        <v>1.01928117600735</v>
      </c>
      <c r="T179" s="9">
        <v>3351</v>
      </c>
      <c r="U179" s="13">
        <f t="shared" si="19"/>
        <v>16.8472487955047</v>
      </c>
      <c r="V179" s="12">
        <f t="shared" si="20"/>
        <v>0.221744309158285</v>
      </c>
      <c r="W179" s="17">
        <f>COUNTIFS(源数据[日期],源数据[[#This Row],[日期]],源数据[账号id],源数据[[#This Row],[账号id]])</f>
        <v>1</v>
      </c>
      <c r="X179" s="15">
        <f>IFERROR(源数据[[#This Row],[点击量]]/源数据[[#This Row],[展示量]],"")</f>
        <v>0.0473795659078878</v>
      </c>
      <c r="Y179" s="16">
        <f>IFERROR(源数据[[#This Row],[播放量]]/源数据[[#This Row],[展示量]],"")</f>
        <v>0.221744309158285</v>
      </c>
      <c r="Z179" s="16">
        <f>IFERROR(源数据[[#This Row],[三连投放总消耗(毫分)]]/源数据[[#This Row],[播放量]],"")</f>
        <v>0.0593568725753506</v>
      </c>
      <c r="AA17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80" s="2" customFormat="1" spans="1:27">
      <c r="A180" s="7">
        <v>46204</v>
      </c>
      <c r="B180" s="8" t="s">
        <v>454</v>
      </c>
      <c r="C180" s="8" t="s">
        <v>455</v>
      </c>
      <c r="D180" s="8" t="s">
        <v>91</v>
      </c>
      <c r="E180" s="8" t="s">
        <v>92</v>
      </c>
      <c r="F180" s="8" t="s">
        <v>213</v>
      </c>
      <c r="G180" s="9">
        <v>25686</v>
      </c>
      <c r="H180" s="9">
        <v>615</v>
      </c>
      <c r="I180" s="10">
        <v>197.23361</v>
      </c>
      <c r="J180" s="11">
        <v>197.18</v>
      </c>
      <c r="K180" s="12">
        <f t="shared" si="14"/>
        <v>0.0239430039710348</v>
      </c>
      <c r="L180" s="13">
        <f t="shared" si="15"/>
        <v>7.6786424511407</v>
      </c>
      <c r="M180" s="13">
        <f t="shared" si="16"/>
        <v>0.320705056910569</v>
      </c>
      <c r="N180" s="11">
        <v>0</v>
      </c>
      <c r="O180" s="11">
        <v>0</v>
      </c>
      <c r="P180" s="11">
        <v>204.8</v>
      </c>
      <c r="Q180" s="13">
        <f t="shared" si="17"/>
        <v>1.03836257927845</v>
      </c>
      <c r="R180" s="11">
        <v>204.8</v>
      </c>
      <c r="S180" s="13">
        <f t="shared" si="18"/>
        <v>1.03836257927845</v>
      </c>
      <c r="T180" s="9">
        <v>5950</v>
      </c>
      <c r="U180" s="13">
        <f t="shared" si="19"/>
        <v>30.1672722007167</v>
      </c>
      <c r="V180" s="12">
        <f t="shared" si="20"/>
        <v>0.23164369695554</v>
      </c>
      <c r="W180" s="17">
        <f>COUNTIFS(源数据[日期],源数据[[#This Row],[日期]],源数据[账号id],源数据[[#This Row],[账号id]])</f>
        <v>1</v>
      </c>
      <c r="X180" s="15">
        <f>IFERROR(源数据[[#This Row],[点击量]]/源数据[[#This Row],[展示量]],"")</f>
        <v>0.0239430039710348</v>
      </c>
      <c r="Y180" s="16">
        <f>IFERROR(源数据[[#This Row],[播放量]]/源数据[[#This Row],[展示量]],"")</f>
        <v>0.23164369695554</v>
      </c>
      <c r="Z180" s="16">
        <f>IFERROR(源数据[[#This Row],[三连投放总消耗(毫分)]]/源数据[[#This Row],[播放量]],"")</f>
        <v>0.0331485058823529</v>
      </c>
      <c r="AA18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81" s="2" customFormat="1" spans="1:27">
      <c r="A181" s="7">
        <v>46204</v>
      </c>
      <c r="B181" s="8" t="s">
        <v>456</v>
      </c>
      <c r="C181" s="8" t="s">
        <v>457</v>
      </c>
      <c r="D181" s="8" t="s">
        <v>91</v>
      </c>
      <c r="E181" s="8" t="s">
        <v>92</v>
      </c>
      <c r="F181" s="8" t="s">
        <v>93</v>
      </c>
      <c r="G181" s="9">
        <v>19841</v>
      </c>
      <c r="H181" s="9">
        <v>385</v>
      </c>
      <c r="I181" s="10">
        <v>195.2695</v>
      </c>
      <c r="J181" s="11">
        <v>195.22</v>
      </c>
      <c r="K181" s="12">
        <f t="shared" si="14"/>
        <v>0.019404263897989</v>
      </c>
      <c r="L181" s="13">
        <f t="shared" si="15"/>
        <v>9.8417166473464</v>
      </c>
      <c r="M181" s="13">
        <f t="shared" si="16"/>
        <v>0.507193506493506</v>
      </c>
      <c r="N181" s="11">
        <v>0</v>
      </c>
      <c r="O181" s="11">
        <v>0</v>
      </c>
      <c r="P181" s="11">
        <v>185.11</v>
      </c>
      <c r="Q181" s="13">
        <f t="shared" si="17"/>
        <v>0.947971905494714</v>
      </c>
      <c r="R181" s="11">
        <v>185.11</v>
      </c>
      <c r="S181" s="13">
        <f t="shared" si="18"/>
        <v>0.947971905494714</v>
      </c>
      <c r="T181" s="9">
        <v>4780</v>
      </c>
      <c r="U181" s="13">
        <f t="shared" si="19"/>
        <v>24.478989294283</v>
      </c>
      <c r="V181" s="12">
        <f t="shared" si="20"/>
        <v>0.24091527644776</v>
      </c>
      <c r="W181" s="17">
        <f>COUNTIFS(源数据[日期],源数据[[#This Row],[日期]],源数据[账号id],源数据[[#This Row],[账号id]])</f>
        <v>1</v>
      </c>
      <c r="X181" s="15">
        <f>IFERROR(源数据[[#This Row],[点击量]]/源数据[[#This Row],[展示量]],"")</f>
        <v>0.019404263897989</v>
      </c>
      <c r="Y181" s="16">
        <f>IFERROR(源数据[[#This Row],[播放量]]/源数据[[#This Row],[展示量]],"")</f>
        <v>0.24091527644776</v>
      </c>
      <c r="Z181" s="16">
        <f>IFERROR(源数据[[#This Row],[三连投放总消耗(毫分)]]/源数据[[#This Row],[播放量]],"")</f>
        <v>0.040851359832636</v>
      </c>
      <c r="AA18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82" s="2" customFormat="1" spans="1:27">
      <c r="A182" s="7">
        <v>46204</v>
      </c>
      <c r="B182" s="8" t="s">
        <v>458</v>
      </c>
      <c r="C182" s="8" t="s">
        <v>459</v>
      </c>
      <c r="D182" s="8" t="s">
        <v>91</v>
      </c>
      <c r="E182" s="8" t="s">
        <v>92</v>
      </c>
      <c r="F182" s="8" t="s">
        <v>93</v>
      </c>
      <c r="G182" s="9">
        <v>22574</v>
      </c>
      <c r="H182" s="9">
        <v>1794</v>
      </c>
      <c r="I182" s="10">
        <v>195.04553</v>
      </c>
      <c r="J182" s="11">
        <v>194.95</v>
      </c>
      <c r="K182" s="12">
        <f t="shared" si="14"/>
        <v>0.0794719588907593</v>
      </c>
      <c r="L182" s="13">
        <f t="shared" si="15"/>
        <v>8.64027332329228</v>
      </c>
      <c r="M182" s="13">
        <f t="shared" si="16"/>
        <v>0.108721031215162</v>
      </c>
      <c r="N182" s="11">
        <v>0</v>
      </c>
      <c r="O182" s="11">
        <v>0</v>
      </c>
      <c r="P182" s="11">
        <v>198.88</v>
      </c>
      <c r="Q182" s="13">
        <f t="shared" si="17"/>
        <v>1.01965935850978</v>
      </c>
      <c r="R182" s="11">
        <v>198.88</v>
      </c>
      <c r="S182" s="13">
        <f t="shared" si="18"/>
        <v>1.01965935850978</v>
      </c>
      <c r="T182" s="9">
        <v>6078</v>
      </c>
      <c r="U182" s="13">
        <f t="shared" si="19"/>
        <v>31.161954852285</v>
      </c>
      <c r="V182" s="12">
        <f t="shared" si="20"/>
        <v>0.269247807211837</v>
      </c>
      <c r="W182" s="17">
        <f>COUNTIFS(源数据[日期],源数据[[#This Row],[日期]],源数据[账号id],源数据[[#This Row],[账号id]])</f>
        <v>1</v>
      </c>
      <c r="X182" s="15">
        <f>IFERROR(源数据[[#This Row],[点击量]]/源数据[[#This Row],[展示量]],"")</f>
        <v>0.0794719588907593</v>
      </c>
      <c r="Y182" s="16">
        <f>IFERROR(源数据[[#This Row],[播放量]]/源数据[[#This Row],[展示量]],"")</f>
        <v>0.269247807211837</v>
      </c>
      <c r="Z182" s="16">
        <f>IFERROR(源数据[[#This Row],[三连投放总消耗(毫分)]]/源数据[[#This Row],[播放量]],"")</f>
        <v>0.0320904129647911</v>
      </c>
      <c r="AA18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83" s="2" customFormat="1" spans="1:27">
      <c r="A183" s="7">
        <v>46204</v>
      </c>
      <c r="B183" s="8" t="s">
        <v>460</v>
      </c>
      <c r="C183" s="8" t="s">
        <v>461</v>
      </c>
      <c r="D183" s="8" t="s">
        <v>91</v>
      </c>
      <c r="E183" s="8" t="s">
        <v>92</v>
      </c>
      <c r="F183" s="8" t="s">
        <v>93</v>
      </c>
      <c r="G183" s="9">
        <v>17753</v>
      </c>
      <c r="H183" s="9">
        <v>577</v>
      </c>
      <c r="I183" s="10">
        <v>194.65204</v>
      </c>
      <c r="J183" s="11">
        <v>194.57</v>
      </c>
      <c r="K183" s="12">
        <f t="shared" si="14"/>
        <v>0.0325015490339661</v>
      </c>
      <c r="L183" s="13">
        <f t="shared" si="15"/>
        <v>10.964458964682</v>
      </c>
      <c r="M183" s="13">
        <f t="shared" si="16"/>
        <v>0.337351889081456</v>
      </c>
      <c r="N183" s="11">
        <v>0</v>
      </c>
      <c r="O183" s="11">
        <v>0</v>
      </c>
      <c r="P183" s="11">
        <v>178.86</v>
      </c>
      <c r="Q183" s="13">
        <f t="shared" si="17"/>
        <v>0.918870411016499</v>
      </c>
      <c r="R183" s="11">
        <v>178.86</v>
      </c>
      <c r="S183" s="13">
        <f t="shared" si="18"/>
        <v>0.918870411016499</v>
      </c>
      <c r="T183" s="9">
        <v>4312</v>
      </c>
      <c r="U183" s="13">
        <f t="shared" si="19"/>
        <v>22.1523493922797</v>
      </c>
      <c r="V183" s="12">
        <f t="shared" si="20"/>
        <v>0.242888525882949</v>
      </c>
      <c r="W183" s="17">
        <f>COUNTIFS(源数据[日期],源数据[[#This Row],[日期]],源数据[账号id],源数据[[#This Row],[账号id]])</f>
        <v>1</v>
      </c>
      <c r="X183" s="15">
        <f>IFERROR(源数据[[#This Row],[点击量]]/源数据[[#This Row],[展示量]],"")</f>
        <v>0.0325015490339661</v>
      </c>
      <c r="Y183" s="16">
        <f>IFERROR(源数据[[#This Row],[播放量]]/源数据[[#This Row],[展示量]],"")</f>
        <v>0.242888525882949</v>
      </c>
      <c r="Z183" s="16">
        <f>IFERROR(源数据[[#This Row],[三连投放总消耗(毫分)]]/源数据[[#This Row],[播放量]],"")</f>
        <v>0.0451419387755102</v>
      </c>
      <c r="AA18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84" s="2" customFormat="1" spans="1:27">
      <c r="A184" s="7">
        <v>46204</v>
      </c>
      <c r="B184" s="8" t="s">
        <v>462</v>
      </c>
      <c r="C184" s="8" t="s">
        <v>463</v>
      </c>
      <c r="D184" s="8" t="s">
        <v>91</v>
      </c>
      <c r="E184" s="8" t="s">
        <v>92</v>
      </c>
      <c r="F184" s="8" t="s">
        <v>93</v>
      </c>
      <c r="G184" s="9">
        <v>16323</v>
      </c>
      <c r="H184" s="9">
        <v>601</v>
      </c>
      <c r="I184" s="10">
        <v>194.46896</v>
      </c>
      <c r="J184" s="11">
        <v>194.41</v>
      </c>
      <c r="K184" s="12">
        <f t="shared" si="14"/>
        <v>0.0368192121546284</v>
      </c>
      <c r="L184" s="13">
        <f t="shared" si="15"/>
        <v>11.9138001592844</v>
      </c>
      <c r="M184" s="13">
        <f t="shared" si="16"/>
        <v>0.323575640599002</v>
      </c>
      <c r="N184" s="11">
        <v>0</v>
      </c>
      <c r="O184" s="11">
        <v>0</v>
      </c>
      <c r="P184" s="11">
        <v>205.59</v>
      </c>
      <c r="Q184" s="13">
        <f t="shared" si="17"/>
        <v>1.05718670989962</v>
      </c>
      <c r="R184" s="11">
        <v>205.59</v>
      </c>
      <c r="S184" s="13">
        <f t="shared" si="18"/>
        <v>1.05718670989962</v>
      </c>
      <c r="T184" s="9">
        <v>3300</v>
      </c>
      <c r="U184" s="13">
        <f t="shared" si="19"/>
        <v>16.9692890834609</v>
      </c>
      <c r="V184" s="12">
        <f t="shared" si="20"/>
        <v>0.202168718985481</v>
      </c>
      <c r="W184" s="17">
        <f>COUNTIFS(源数据[日期],源数据[[#This Row],[日期]],源数据[账号id],源数据[[#This Row],[账号id]])</f>
        <v>1</v>
      </c>
      <c r="X184" s="15">
        <f>IFERROR(源数据[[#This Row],[点击量]]/源数据[[#This Row],[展示量]],"")</f>
        <v>0.0368192121546284</v>
      </c>
      <c r="Y184" s="16">
        <f>IFERROR(源数据[[#This Row],[播放量]]/源数据[[#This Row],[展示量]],"")</f>
        <v>0.202168718985481</v>
      </c>
      <c r="Z184" s="16">
        <f>IFERROR(源数据[[#This Row],[三连投放总消耗(毫分)]]/源数据[[#This Row],[播放量]],"")</f>
        <v>0.0589299878787879</v>
      </c>
      <c r="AA18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85" s="2" customFormat="1" spans="1:27">
      <c r="A185" s="7">
        <v>46204</v>
      </c>
      <c r="B185" s="8" t="s">
        <v>464</v>
      </c>
      <c r="C185" s="8" t="s">
        <v>465</v>
      </c>
      <c r="D185" s="8" t="s">
        <v>91</v>
      </c>
      <c r="E185" s="8" t="s">
        <v>92</v>
      </c>
      <c r="F185" s="8" t="s">
        <v>101</v>
      </c>
      <c r="G185" s="9">
        <v>18463</v>
      </c>
      <c r="H185" s="9">
        <v>678</v>
      </c>
      <c r="I185" s="10">
        <v>194.4601</v>
      </c>
      <c r="J185" s="11">
        <v>194.36</v>
      </c>
      <c r="K185" s="12">
        <f t="shared" si="14"/>
        <v>0.0367220928343173</v>
      </c>
      <c r="L185" s="13">
        <f t="shared" si="15"/>
        <v>10.5324215999567</v>
      </c>
      <c r="M185" s="13">
        <f t="shared" si="16"/>
        <v>0.286814306784661</v>
      </c>
      <c r="N185" s="11">
        <v>0</v>
      </c>
      <c r="O185" s="11">
        <v>0</v>
      </c>
      <c r="P185" s="11">
        <v>199.66</v>
      </c>
      <c r="Q185" s="13">
        <f t="shared" si="17"/>
        <v>1.02674018988985</v>
      </c>
      <c r="R185" s="11">
        <v>199.66</v>
      </c>
      <c r="S185" s="13">
        <f t="shared" si="18"/>
        <v>1.02674018988985</v>
      </c>
      <c r="T185" s="9">
        <v>5285</v>
      </c>
      <c r="U185" s="13">
        <f t="shared" si="19"/>
        <v>27.1778117978958</v>
      </c>
      <c r="V185" s="12">
        <f t="shared" si="20"/>
        <v>0.286248172019715</v>
      </c>
      <c r="W185" s="17">
        <f>COUNTIFS(源数据[日期],源数据[[#This Row],[日期]],源数据[账号id],源数据[[#This Row],[账号id]])</f>
        <v>1</v>
      </c>
      <c r="X185" s="15">
        <f>IFERROR(源数据[[#This Row],[点击量]]/源数据[[#This Row],[展示量]],"")</f>
        <v>0.0367220928343173</v>
      </c>
      <c r="Y185" s="16">
        <f>IFERROR(源数据[[#This Row],[播放量]]/源数据[[#This Row],[展示量]],"")</f>
        <v>0.286248172019715</v>
      </c>
      <c r="Z185" s="16">
        <f>IFERROR(源数据[[#This Row],[三连投放总消耗(毫分)]]/源数据[[#This Row],[播放量]],"")</f>
        <v>0.0367947209082308</v>
      </c>
      <c r="AA18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86" s="2" customFormat="1" spans="1:27">
      <c r="A186" s="7">
        <v>46204</v>
      </c>
      <c r="B186" s="8" t="s">
        <v>466</v>
      </c>
      <c r="C186" s="8" t="s">
        <v>467</v>
      </c>
      <c r="D186" s="8" t="s">
        <v>91</v>
      </c>
      <c r="E186" s="8" t="s">
        <v>92</v>
      </c>
      <c r="F186" s="8" t="s">
        <v>110</v>
      </c>
      <c r="G186" s="9">
        <v>32768</v>
      </c>
      <c r="H186" s="9">
        <v>1831</v>
      </c>
      <c r="I186" s="10">
        <v>190.72952</v>
      </c>
      <c r="J186" s="11">
        <v>190.65</v>
      </c>
      <c r="K186" s="12">
        <f t="shared" si="14"/>
        <v>0.055877685546875</v>
      </c>
      <c r="L186" s="13">
        <f t="shared" si="15"/>
        <v>5.82060302734375</v>
      </c>
      <c r="M186" s="13">
        <f t="shared" si="16"/>
        <v>0.104166859639541</v>
      </c>
      <c r="N186" s="11">
        <v>36.22</v>
      </c>
      <c r="O186" s="11">
        <v>36.22</v>
      </c>
      <c r="P186" s="11">
        <v>146.42</v>
      </c>
      <c r="Q186" s="13">
        <f t="shared" si="17"/>
        <v>0.767683995639479</v>
      </c>
      <c r="R186" s="11">
        <v>182.64</v>
      </c>
      <c r="S186" s="13">
        <f t="shared" si="18"/>
        <v>0.957586429200891</v>
      </c>
      <c r="T186" s="9">
        <v>3009</v>
      </c>
      <c r="U186" s="13">
        <f t="shared" si="19"/>
        <v>15.776267879246</v>
      </c>
      <c r="V186" s="12">
        <f t="shared" si="20"/>
        <v>0.091827392578125</v>
      </c>
      <c r="W186" s="17">
        <f>COUNTIFS(源数据[日期],源数据[[#This Row],[日期]],源数据[账号id],源数据[[#This Row],[账号id]])</f>
        <v>1</v>
      </c>
      <c r="X186" s="15">
        <f>IFERROR(源数据[[#This Row],[点击量]]/源数据[[#This Row],[展示量]],"")</f>
        <v>0.055877685546875</v>
      </c>
      <c r="Y186" s="16">
        <f>IFERROR(源数据[[#This Row],[播放量]]/源数据[[#This Row],[展示量]],"")</f>
        <v>0.091827392578125</v>
      </c>
      <c r="Z186" s="16">
        <f>IFERROR(源数据[[#This Row],[三连投放总消耗(毫分)]]/源数据[[#This Row],[播放量]],"")</f>
        <v>0.0633863476237953</v>
      </c>
      <c r="AA18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87" s="2" customFormat="1" spans="1:27">
      <c r="A187" s="7">
        <v>46204</v>
      </c>
      <c r="B187" s="8" t="s">
        <v>468</v>
      </c>
      <c r="C187" s="8" t="s">
        <v>469</v>
      </c>
      <c r="D187" s="8" t="s">
        <v>91</v>
      </c>
      <c r="E187" s="8" t="s">
        <v>92</v>
      </c>
      <c r="F187" s="8" t="s">
        <v>213</v>
      </c>
      <c r="G187" s="9">
        <v>29057</v>
      </c>
      <c r="H187" s="9">
        <v>594</v>
      </c>
      <c r="I187" s="10">
        <v>189.08092</v>
      </c>
      <c r="J187" s="11">
        <v>189.04</v>
      </c>
      <c r="K187" s="12">
        <f t="shared" si="14"/>
        <v>0.0204425783804247</v>
      </c>
      <c r="L187" s="13">
        <f t="shared" si="15"/>
        <v>6.50724162852325</v>
      </c>
      <c r="M187" s="13">
        <f t="shared" si="16"/>
        <v>0.318318047138047</v>
      </c>
      <c r="N187" s="11">
        <v>0</v>
      </c>
      <c r="O187" s="11">
        <v>0</v>
      </c>
      <c r="P187" s="11">
        <v>204.87</v>
      </c>
      <c r="Q187" s="13">
        <f t="shared" si="17"/>
        <v>1.08350435358576</v>
      </c>
      <c r="R187" s="11">
        <v>204.87</v>
      </c>
      <c r="S187" s="13">
        <f t="shared" si="18"/>
        <v>1.08350435358576</v>
      </c>
      <c r="T187" s="9">
        <v>5493</v>
      </c>
      <c r="U187" s="13">
        <f t="shared" si="19"/>
        <v>29.0510539085594</v>
      </c>
      <c r="V187" s="12">
        <f t="shared" si="20"/>
        <v>0.18904222734625</v>
      </c>
      <c r="W187" s="17">
        <f>COUNTIFS(源数据[日期],源数据[[#This Row],[日期]],源数据[账号id],源数据[[#This Row],[账号id]])</f>
        <v>1</v>
      </c>
      <c r="X187" s="15">
        <f>IFERROR(源数据[[#This Row],[点击量]]/源数据[[#This Row],[展示量]],"")</f>
        <v>0.0204425783804247</v>
      </c>
      <c r="Y187" s="16">
        <f>IFERROR(源数据[[#This Row],[播放量]]/源数据[[#This Row],[展示量]],"")</f>
        <v>0.18904222734625</v>
      </c>
      <c r="Z187" s="16">
        <f>IFERROR(源数据[[#This Row],[三连投放总消耗(毫分)]]/源数据[[#This Row],[播放量]],"")</f>
        <v>0.0344221591115966</v>
      </c>
      <c r="AA18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88" s="2" customFormat="1" spans="1:27">
      <c r="A188" s="7">
        <v>46204</v>
      </c>
      <c r="B188" s="8" t="s">
        <v>470</v>
      </c>
      <c r="C188" s="8" t="s">
        <v>471</v>
      </c>
      <c r="D188" s="8" t="s">
        <v>91</v>
      </c>
      <c r="E188" s="8" t="s">
        <v>92</v>
      </c>
      <c r="F188" s="8" t="s">
        <v>115</v>
      </c>
      <c r="G188" s="9">
        <v>13371</v>
      </c>
      <c r="H188" s="9">
        <v>433</v>
      </c>
      <c r="I188" s="10">
        <v>186.70776</v>
      </c>
      <c r="J188" s="11">
        <v>186.64</v>
      </c>
      <c r="K188" s="12">
        <f t="shared" si="14"/>
        <v>0.0323835165657019</v>
      </c>
      <c r="L188" s="13">
        <f t="shared" si="15"/>
        <v>13.9636347318824</v>
      </c>
      <c r="M188" s="13">
        <f t="shared" si="16"/>
        <v>0.431195750577367</v>
      </c>
      <c r="N188" s="11">
        <v>0</v>
      </c>
      <c r="O188" s="11">
        <v>0</v>
      </c>
      <c r="P188" s="11">
        <v>178.59</v>
      </c>
      <c r="Q188" s="13">
        <f t="shared" si="17"/>
        <v>0.956521571465482</v>
      </c>
      <c r="R188" s="11">
        <v>178.59</v>
      </c>
      <c r="S188" s="13">
        <f t="shared" si="18"/>
        <v>0.956521571465482</v>
      </c>
      <c r="T188" s="9">
        <v>3982</v>
      </c>
      <c r="U188" s="13">
        <f t="shared" si="19"/>
        <v>21.3274477718548</v>
      </c>
      <c r="V188" s="12">
        <f t="shared" si="20"/>
        <v>0.29780869044948</v>
      </c>
      <c r="W188" s="17">
        <f>COUNTIFS(源数据[日期],源数据[[#This Row],[日期]],源数据[账号id],源数据[[#This Row],[账号id]])</f>
        <v>1</v>
      </c>
      <c r="X188" s="15">
        <f>IFERROR(源数据[[#This Row],[点击量]]/源数据[[#This Row],[展示量]],"")</f>
        <v>0.0323835165657019</v>
      </c>
      <c r="Y188" s="16">
        <f>IFERROR(源数据[[#This Row],[播放量]]/源数据[[#This Row],[展示量]],"")</f>
        <v>0.29780869044948</v>
      </c>
      <c r="Z188" s="16">
        <f>IFERROR(源数据[[#This Row],[三连投放总消耗(毫分)]]/源数据[[#This Row],[播放量]],"")</f>
        <v>0.0468879357106981</v>
      </c>
      <c r="AA18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89" s="2" customFormat="1" spans="1:27">
      <c r="A189" s="7">
        <v>46204</v>
      </c>
      <c r="B189" s="8" t="s">
        <v>472</v>
      </c>
      <c r="C189" s="8" t="s">
        <v>473</v>
      </c>
      <c r="D189" s="8" t="s">
        <v>91</v>
      </c>
      <c r="E189" s="8" t="s">
        <v>92</v>
      </c>
      <c r="F189" s="8" t="s">
        <v>115</v>
      </c>
      <c r="G189" s="9">
        <v>18938</v>
      </c>
      <c r="H189" s="9">
        <v>760</v>
      </c>
      <c r="I189" s="10">
        <v>184.49897</v>
      </c>
      <c r="J189" s="11">
        <v>184.42</v>
      </c>
      <c r="K189" s="12">
        <f t="shared" si="14"/>
        <v>0.0401309536381878</v>
      </c>
      <c r="L189" s="13">
        <f t="shared" si="15"/>
        <v>9.74226264653078</v>
      </c>
      <c r="M189" s="13">
        <f t="shared" si="16"/>
        <v>0.242761802631579</v>
      </c>
      <c r="N189" s="11">
        <v>0</v>
      </c>
      <c r="O189" s="11">
        <v>0</v>
      </c>
      <c r="P189" s="11">
        <v>179.56</v>
      </c>
      <c r="Q189" s="13">
        <f t="shared" si="17"/>
        <v>0.973230365459493</v>
      </c>
      <c r="R189" s="11">
        <v>179.56</v>
      </c>
      <c r="S189" s="13">
        <f t="shared" si="18"/>
        <v>0.973230365459493</v>
      </c>
      <c r="T189" s="9">
        <v>3983</v>
      </c>
      <c r="U189" s="13">
        <f t="shared" si="19"/>
        <v>21.5881964002292</v>
      </c>
      <c r="V189" s="12">
        <f t="shared" si="20"/>
        <v>0.210317879395924</v>
      </c>
      <c r="W189" s="17">
        <f>COUNTIFS(源数据[日期],源数据[[#This Row],[日期]],源数据[账号id],源数据[[#This Row],[账号id]])</f>
        <v>1</v>
      </c>
      <c r="X189" s="15">
        <f>IFERROR(源数据[[#This Row],[点击量]]/源数据[[#This Row],[展示量]],"")</f>
        <v>0.0401309536381878</v>
      </c>
      <c r="Y189" s="16">
        <f>IFERROR(源数据[[#This Row],[播放量]]/源数据[[#This Row],[展示量]],"")</f>
        <v>0.210317879395924</v>
      </c>
      <c r="Z189" s="16">
        <f>IFERROR(源数据[[#This Row],[三连投放总消耗(毫分)]]/源数据[[#This Row],[播放量]],"")</f>
        <v>0.0463216093396937</v>
      </c>
      <c r="AA18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90" s="2" customFormat="1" spans="1:27">
      <c r="A190" s="7">
        <v>46204</v>
      </c>
      <c r="B190" s="8" t="s">
        <v>474</v>
      </c>
      <c r="C190" s="8" t="s">
        <v>475</v>
      </c>
      <c r="D190" s="8" t="s">
        <v>91</v>
      </c>
      <c r="E190" s="8" t="s">
        <v>92</v>
      </c>
      <c r="F190" s="8" t="s">
        <v>96</v>
      </c>
      <c r="G190" s="9">
        <v>20881</v>
      </c>
      <c r="H190" s="9">
        <v>745</v>
      </c>
      <c r="I190" s="10">
        <v>183.84966</v>
      </c>
      <c r="J190" s="11">
        <v>183.78</v>
      </c>
      <c r="K190" s="12">
        <f t="shared" si="14"/>
        <v>0.0356783678942579</v>
      </c>
      <c r="L190" s="13">
        <f t="shared" si="15"/>
        <v>8.80463866673052</v>
      </c>
      <c r="M190" s="13">
        <f t="shared" si="16"/>
        <v>0.246778067114094</v>
      </c>
      <c r="N190" s="11">
        <v>0</v>
      </c>
      <c r="O190" s="11">
        <v>0</v>
      </c>
      <c r="P190" s="11">
        <v>187.3</v>
      </c>
      <c r="Q190" s="13">
        <f t="shared" si="17"/>
        <v>1.01876718183759</v>
      </c>
      <c r="R190" s="11">
        <v>187.3</v>
      </c>
      <c r="S190" s="13">
        <f t="shared" si="18"/>
        <v>1.01876718183759</v>
      </c>
      <c r="T190" s="9">
        <v>4344</v>
      </c>
      <c r="U190" s="13">
        <f t="shared" si="19"/>
        <v>23.6280012701682</v>
      </c>
      <c r="V190" s="12">
        <f t="shared" si="20"/>
        <v>0.208036013600881</v>
      </c>
      <c r="W190" s="17">
        <f>COUNTIFS(源数据[日期],源数据[[#This Row],[日期]],源数据[账号id],源数据[[#This Row],[账号id]])</f>
        <v>1</v>
      </c>
      <c r="X190" s="15">
        <f>IFERROR(源数据[[#This Row],[点击量]]/源数据[[#This Row],[展示量]],"")</f>
        <v>0.0356783678942579</v>
      </c>
      <c r="Y190" s="16">
        <f>IFERROR(源数据[[#This Row],[播放量]]/源数据[[#This Row],[展示量]],"")</f>
        <v>0.208036013600881</v>
      </c>
      <c r="Z190" s="16">
        <f>IFERROR(源数据[[#This Row],[三连投放总消耗(毫分)]]/源数据[[#This Row],[播放量]],"")</f>
        <v>0.0423226657458564</v>
      </c>
      <c r="AA19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91" s="2" customFormat="1" spans="1:27">
      <c r="A191" s="7">
        <v>46204</v>
      </c>
      <c r="B191" s="8" t="s">
        <v>476</v>
      </c>
      <c r="C191" s="8" t="s">
        <v>477</v>
      </c>
      <c r="D191" s="8" t="s">
        <v>91</v>
      </c>
      <c r="E191" s="8" t="s">
        <v>92</v>
      </c>
      <c r="F191" s="8" t="s">
        <v>152</v>
      </c>
      <c r="G191" s="9">
        <v>12186</v>
      </c>
      <c r="H191" s="9">
        <v>2311</v>
      </c>
      <c r="I191" s="10">
        <v>181.02382</v>
      </c>
      <c r="J191" s="11">
        <v>180.99</v>
      </c>
      <c r="K191" s="12">
        <f t="shared" si="14"/>
        <v>0.189643853602495</v>
      </c>
      <c r="L191" s="13">
        <f t="shared" si="15"/>
        <v>14.8550648284917</v>
      </c>
      <c r="M191" s="13">
        <f t="shared" si="16"/>
        <v>0.0783313803548247</v>
      </c>
      <c r="N191" s="11">
        <v>11.63</v>
      </c>
      <c r="O191" s="11">
        <v>11.63</v>
      </c>
      <c r="P191" s="11">
        <v>130.21</v>
      </c>
      <c r="Q191" s="13">
        <f t="shared" si="17"/>
        <v>0.719297604039071</v>
      </c>
      <c r="R191" s="11">
        <v>141.84</v>
      </c>
      <c r="S191" s="13">
        <f t="shared" si="18"/>
        <v>0.783543292810858</v>
      </c>
      <c r="T191" s="9">
        <v>3248</v>
      </c>
      <c r="U191" s="13">
        <f t="shared" si="19"/>
        <v>17.9423901230236</v>
      </c>
      <c r="V191" s="12">
        <f t="shared" si="20"/>
        <v>0.266535368455605</v>
      </c>
      <c r="W191" s="17">
        <f>COUNTIFS(源数据[日期],源数据[[#This Row],[日期]],源数据[账号id],源数据[[#This Row],[账号id]])</f>
        <v>1</v>
      </c>
      <c r="X191" s="15">
        <f>IFERROR(源数据[[#This Row],[点击量]]/源数据[[#This Row],[展示量]],"")</f>
        <v>0.189643853602495</v>
      </c>
      <c r="Y191" s="16">
        <f>IFERROR(源数据[[#This Row],[播放量]]/源数据[[#This Row],[展示量]],"")</f>
        <v>0.266535368455605</v>
      </c>
      <c r="Z191" s="16">
        <f>IFERROR(源数据[[#This Row],[三连投放总消耗(毫分)]]/源数据[[#This Row],[播放量]],"")</f>
        <v>0.055733934729064</v>
      </c>
      <c r="AA19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92" s="2" customFormat="1" spans="1:27">
      <c r="A192" s="7">
        <v>46204</v>
      </c>
      <c r="B192" s="8" t="s">
        <v>478</v>
      </c>
      <c r="C192" s="8" t="s">
        <v>479</v>
      </c>
      <c r="D192" s="8" t="s">
        <v>91</v>
      </c>
      <c r="E192" s="8" t="s">
        <v>92</v>
      </c>
      <c r="F192" s="8" t="s">
        <v>93</v>
      </c>
      <c r="G192" s="9">
        <v>14492</v>
      </c>
      <c r="H192" s="9">
        <v>666</v>
      </c>
      <c r="I192" s="10">
        <v>179.88707</v>
      </c>
      <c r="J192" s="11">
        <v>179.77</v>
      </c>
      <c r="K192" s="12">
        <f t="shared" si="14"/>
        <v>0.0459563897322661</v>
      </c>
      <c r="L192" s="13">
        <f t="shared" si="15"/>
        <v>12.4128532983715</v>
      </c>
      <c r="M192" s="13">
        <f t="shared" si="16"/>
        <v>0.270100705705706</v>
      </c>
      <c r="N192" s="11">
        <v>0</v>
      </c>
      <c r="O192" s="11">
        <v>0</v>
      </c>
      <c r="P192" s="11">
        <v>194.71</v>
      </c>
      <c r="Q192" s="13">
        <f t="shared" si="17"/>
        <v>1.08240130877667</v>
      </c>
      <c r="R192" s="11">
        <v>194.71</v>
      </c>
      <c r="S192" s="13">
        <f t="shared" si="18"/>
        <v>1.08240130877667</v>
      </c>
      <c r="T192" s="9">
        <v>3958</v>
      </c>
      <c r="U192" s="13">
        <f t="shared" si="19"/>
        <v>22.0026931340868</v>
      </c>
      <c r="V192" s="12">
        <f t="shared" si="20"/>
        <v>0.273116202042506</v>
      </c>
      <c r="W192" s="17">
        <f>COUNTIFS(源数据[日期],源数据[[#This Row],[日期]],源数据[账号id],源数据[[#This Row],[账号id]])</f>
        <v>1</v>
      </c>
      <c r="X192" s="15">
        <f>IFERROR(源数据[[#This Row],[点击量]]/源数据[[#This Row],[展示量]],"")</f>
        <v>0.0459563897322661</v>
      </c>
      <c r="Y192" s="16">
        <f>IFERROR(源数据[[#This Row],[播放量]]/源数据[[#This Row],[展示量]],"")</f>
        <v>0.273116202042506</v>
      </c>
      <c r="Z192" s="16">
        <f>IFERROR(源数据[[#This Row],[三连投放总消耗(毫分)]]/源数据[[#This Row],[播放量]],"")</f>
        <v>0.0454489818089944</v>
      </c>
      <c r="AA19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93" s="2" customFormat="1" spans="1:27">
      <c r="A193" s="7">
        <v>46204</v>
      </c>
      <c r="B193" s="8" t="s">
        <v>480</v>
      </c>
      <c r="C193" s="8" t="s">
        <v>481</v>
      </c>
      <c r="D193" s="8" t="s">
        <v>91</v>
      </c>
      <c r="E193" s="8" t="s">
        <v>92</v>
      </c>
      <c r="F193" s="8" t="s">
        <v>115</v>
      </c>
      <c r="G193" s="9">
        <v>14188</v>
      </c>
      <c r="H193" s="9">
        <v>113</v>
      </c>
      <c r="I193" s="10">
        <v>177.04193</v>
      </c>
      <c r="J193" s="11">
        <v>176.96</v>
      </c>
      <c r="K193" s="12">
        <f t="shared" si="14"/>
        <v>0.0079644770228362</v>
      </c>
      <c r="L193" s="13">
        <f t="shared" si="15"/>
        <v>12.4782865802086</v>
      </c>
      <c r="M193" s="13">
        <f t="shared" si="16"/>
        <v>1.56674274336283</v>
      </c>
      <c r="N193" s="11">
        <v>0</v>
      </c>
      <c r="O193" s="11">
        <v>0</v>
      </c>
      <c r="P193" s="11">
        <v>157.65</v>
      </c>
      <c r="Q193" s="13">
        <f t="shared" si="17"/>
        <v>0.890467021004572</v>
      </c>
      <c r="R193" s="11">
        <v>157.65</v>
      </c>
      <c r="S193" s="13">
        <f t="shared" si="18"/>
        <v>0.890467021004572</v>
      </c>
      <c r="T193" s="9">
        <v>3904</v>
      </c>
      <c r="U193" s="13">
        <f t="shared" si="19"/>
        <v>22.0512733904336</v>
      </c>
      <c r="V193" s="12">
        <f t="shared" si="20"/>
        <v>0.275162108824359</v>
      </c>
      <c r="W193" s="17">
        <f>COUNTIFS(源数据[日期],源数据[[#This Row],[日期]],源数据[账号id],源数据[[#This Row],[账号id]])</f>
        <v>1</v>
      </c>
      <c r="X193" s="15">
        <f>IFERROR(源数据[[#This Row],[点击量]]/源数据[[#This Row],[展示量]],"")</f>
        <v>0.0079644770228362</v>
      </c>
      <c r="Y193" s="16">
        <f>IFERROR(源数据[[#This Row],[播放量]]/源数据[[#This Row],[展示量]],"")</f>
        <v>0.275162108824359</v>
      </c>
      <c r="Z193" s="16">
        <f>IFERROR(源数据[[#This Row],[三连投放总消耗(毫分)]]/源数据[[#This Row],[播放量]],"")</f>
        <v>0.0453488550204918</v>
      </c>
      <c r="AA19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94" s="2" customFormat="1" spans="1:27">
      <c r="A194" s="7">
        <v>46204</v>
      </c>
      <c r="B194" s="8" t="s">
        <v>482</v>
      </c>
      <c r="C194" s="8" t="s">
        <v>483</v>
      </c>
      <c r="D194" s="8" t="s">
        <v>91</v>
      </c>
      <c r="E194" s="8" t="s">
        <v>92</v>
      </c>
      <c r="F194" s="8" t="s">
        <v>93</v>
      </c>
      <c r="G194" s="9">
        <v>15358</v>
      </c>
      <c r="H194" s="9">
        <v>1103</v>
      </c>
      <c r="I194" s="10">
        <v>175.44101</v>
      </c>
      <c r="J194" s="11">
        <v>175.34</v>
      </c>
      <c r="K194" s="12">
        <f t="shared" ref="K194:K257" si="21">IF(G194=0,0,H194/G194)</f>
        <v>0.0718192472978252</v>
      </c>
      <c r="L194" s="13">
        <f t="shared" ref="L194:L257" si="22">IF(G194=0,0,I194/G194*1000)</f>
        <v>11.4234281807527</v>
      </c>
      <c r="M194" s="13">
        <f t="shared" ref="M194:M257" si="23">IF(H194=0,0,I194/H194)</f>
        <v>0.159058032638259</v>
      </c>
      <c r="N194" s="11">
        <v>0</v>
      </c>
      <c r="O194" s="11">
        <v>0</v>
      </c>
      <c r="P194" s="11">
        <v>174.06</v>
      </c>
      <c r="Q194" s="13">
        <f t="shared" ref="Q194:Q257" si="24">IF(I194=0,0,P194/I194)</f>
        <v>0.992128351290271</v>
      </c>
      <c r="R194" s="11">
        <v>174.06</v>
      </c>
      <c r="S194" s="13">
        <f t="shared" ref="S194:S257" si="25">IF(I194=0,0,R194/I194)</f>
        <v>0.992128351290271</v>
      </c>
      <c r="T194" s="9">
        <v>3771</v>
      </c>
      <c r="U194" s="13">
        <f t="shared" ref="U194:U257" si="26">IF(I194=0,0,T194/I194)</f>
        <v>21.49440430148</v>
      </c>
      <c r="V194" s="12">
        <f t="shared" ref="V194:V257" si="27">IF(G194=0,0,T194/G194)</f>
        <v>0.245539783826019</v>
      </c>
      <c r="W194" s="17">
        <f>COUNTIFS(源数据[日期],源数据[[#This Row],[日期]],源数据[账号id],源数据[[#This Row],[账号id]])</f>
        <v>1</v>
      </c>
      <c r="X194" s="15">
        <f>IFERROR(源数据[[#This Row],[点击量]]/源数据[[#This Row],[展示量]],"")</f>
        <v>0.0718192472978252</v>
      </c>
      <c r="Y194" s="16">
        <f>IFERROR(源数据[[#This Row],[播放量]]/源数据[[#This Row],[展示量]],"")</f>
        <v>0.245539783826019</v>
      </c>
      <c r="Z194" s="16">
        <f>IFERROR(源数据[[#This Row],[三连投放总消耗(毫分)]]/源数据[[#This Row],[播放量]],"")</f>
        <v>0.0465237364094405</v>
      </c>
      <c r="AA19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95" s="2" customFormat="1" spans="1:27">
      <c r="A195" s="7">
        <v>46204</v>
      </c>
      <c r="B195" s="8" t="s">
        <v>484</v>
      </c>
      <c r="C195" s="8" t="s">
        <v>485</v>
      </c>
      <c r="D195" s="8" t="s">
        <v>91</v>
      </c>
      <c r="E195" s="8" t="s">
        <v>92</v>
      </c>
      <c r="F195" s="8" t="s">
        <v>96</v>
      </c>
      <c r="G195" s="9">
        <v>22720</v>
      </c>
      <c r="H195" s="9">
        <v>1404</v>
      </c>
      <c r="I195" s="10">
        <v>173.42704</v>
      </c>
      <c r="J195" s="11">
        <v>173.35</v>
      </c>
      <c r="K195" s="12">
        <f t="shared" si="21"/>
        <v>0.0617957746478873</v>
      </c>
      <c r="L195" s="13">
        <f t="shared" si="22"/>
        <v>7.6332323943662</v>
      </c>
      <c r="M195" s="13">
        <f t="shared" si="23"/>
        <v>0.123523532763533</v>
      </c>
      <c r="N195" s="11">
        <v>0</v>
      </c>
      <c r="O195" s="11">
        <v>0</v>
      </c>
      <c r="P195" s="11">
        <v>184.64</v>
      </c>
      <c r="Q195" s="13">
        <f t="shared" si="24"/>
        <v>1.0646552002502</v>
      </c>
      <c r="R195" s="11">
        <v>184.64</v>
      </c>
      <c r="S195" s="13">
        <f t="shared" si="25"/>
        <v>1.0646552002502</v>
      </c>
      <c r="T195" s="9">
        <v>4004</v>
      </c>
      <c r="U195" s="13">
        <f t="shared" si="26"/>
        <v>23.0875185322889</v>
      </c>
      <c r="V195" s="12">
        <f t="shared" si="27"/>
        <v>0.176232394366197</v>
      </c>
      <c r="W195" s="17">
        <f>COUNTIFS(源数据[日期],源数据[[#This Row],[日期]],源数据[账号id],源数据[[#This Row],[账号id]])</f>
        <v>1</v>
      </c>
      <c r="X195" s="15">
        <f>IFERROR(源数据[[#This Row],[点击量]]/源数据[[#This Row],[展示量]],"")</f>
        <v>0.0617957746478873</v>
      </c>
      <c r="Y195" s="16">
        <f>IFERROR(源数据[[#This Row],[播放量]]/源数据[[#This Row],[展示量]],"")</f>
        <v>0.176232394366197</v>
      </c>
      <c r="Z195" s="16">
        <f>IFERROR(源数据[[#This Row],[三连投放总消耗(毫分)]]/源数据[[#This Row],[播放量]],"")</f>
        <v>0.0433134465534466</v>
      </c>
      <c r="AA19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96" s="2" customFormat="1" spans="1:27">
      <c r="A196" s="7">
        <v>46204</v>
      </c>
      <c r="B196" s="8" t="s">
        <v>486</v>
      </c>
      <c r="C196" s="8" t="s">
        <v>487</v>
      </c>
      <c r="D196" s="8" t="s">
        <v>91</v>
      </c>
      <c r="E196" s="8" t="s">
        <v>92</v>
      </c>
      <c r="F196" s="8" t="s">
        <v>115</v>
      </c>
      <c r="G196" s="9">
        <v>14807</v>
      </c>
      <c r="H196" s="9">
        <v>994</v>
      </c>
      <c r="I196" s="10">
        <v>172.47245</v>
      </c>
      <c r="J196" s="11">
        <v>172.36</v>
      </c>
      <c r="K196" s="12">
        <f t="shared" si="21"/>
        <v>0.0671304112919565</v>
      </c>
      <c r="L196" s="13">
        <f t="shared" si="22"/>
        <v>11.6480347133113</v>
      </c>
      <c r="M196" s="13">
        <f t="shared" si="23"/>
        <v>0.173513531187123</v>
      </c>
      <c r="N196" s="11">
        <v>0</v>
      </c>
      <c r="O196" s="11">
        <v>0</v>
      </c>
      <c r="P196" s="11">
        <v>178.26</v>
      </c>
      <c r="Q196" s="13">
        <f t="shared" si="24"/>
        <v>1.03355637378607</v>
      </c>
      <c r="R196" s="11">
        <v>178.26</v>
      </c>
      <c r="S196" s="13">
        <f t="shared" si="25"/>
        <v>1.03355637378607</v>
      </c>
      <c r="T196" s="9">
        <v>3502</v>
      </c>
      <c r="U196" s="13">
        <f t="shared" si="26"/>
        <v>20.3046921406868</v>
      </c>
      <c r="V196" s="12">
        <f t="shared" si="27"/>
        <v>0.236509758897819</v>
      </c>
      <c r="W196" s="17">
        <f>COUNTIFS(源数据[日期],源数据[[#This Row],[日期]],源数据[账号id],源数据[[#This Row],[账号id]])</f>
        <v>1</v>
      </c>
      <c r="X196" s="15">
        <f>IFERROR(源数据[[#This Row],[点击量]]/源数据[[#This Row],[展示量]],"")</f>
        <v>0.0671304112919565</v>
      </c>
      <c r="Y196" s="16">
        <f>IFERROR(源数据[[#This Row],[播放量]]/源数据[[#This Row],[展示量]],"")</f>
        <v>0.236509758897819</v>
      </c>
      <c r="Z196" s="16">
        <f>IFERROR(源数据[[#This Row],[三连投放总消耗(毫分)]]/源数据[[#This Row],[播放量]],"")</f>
        <v>0.0492497001713307</v>
      </c>
      <c r="AA19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97" s="2" customFormat="1" spans="1:27">
      <c r="A197" s="7">
        <v>46204</v>
      </c>
      <c r="B197" s="8" t="s">
        <v>488</v>
      </c>
      <c r="C197" s="8" t="s">
        <v>489</v>
      </c>
      <c r="D197" s="8" t="s">
        <v>91</v>
      </c>
      <c r="E197" s="8" t="s">
        <v>92</v>
      </c>
      <c r="F197" s="8" t="s">
        <v>115</v>
      </c>
      <c r="G197" s="9">
        <v>21656</v>
      </c>
      <c r="H197" s="9">
        <v>819</v>
      </c>
      <c r="I197" s="10">
        <v>172.34562</v>
      </c>
      <c r="J197" s="11">
        <v>172.25</v>
      </c>
      <c r="K197" s="12">
        <f t="shared" si="21"/>
        <v>0.0378186183967492</v>
      </c>
      <c r="L197" s="13">
        <f t="shared" si="22"/>
        <v>7.9583311784263</v>
      </c>
      <c r="M197" s="13">
        <f t="shared" si="23"/>
        <v>0.210434212454212</v>
      </c>
      <c r="N197" s="11">
        <v>0</v>
      </c>
      <c r="O197" s="11">
        <v>0</v>
      </c>
      <c r="P197" s="11">
        <v>181.45</v>
      </c>
      <c r="Q197" s="13">
        <f t="shared" si="24"/>
        <v>1.05282629172705</v>
      </c>
      <c r="R197" s="11">
        <v>181.45</v>
      </c>
      <c r="S197" s="13">
        <f t="shared" si="25"/>
        <v>1.05282629172705</v>
      </c>
      <c r="T197" s="9">
        <v>4002</v>
      </c>
      <c r="U197" s="13">
        <f t="shared" si="26"/>
        <v>23.2207815899238</v>
      </c>
      <c r="V197" s="12">
        <f t="shared" si="27"/>
        <v>0.184798670114518</v>
      </c>
      <c r="W197" s="17">
        <f>COUNTIFS(源数据[日期],源数据[[#This Row],[日期]],源数据[账号id],源数据[[#This Row],[账号id]])</f>
        <v>1</v>
      </c>
      <c r="X197" s="15">
        <f>IFERROR(源数据[[#This Row],[点击量]]/源数据[[#This Row],[展示量]],"")</f>
        <v>0.0378186183967492</v>
      </c>
      <c r="Y197" s="16">
        <f>IFERROR(源数据[[#This Row],[播放量]]/源数据[[#This Row],[展示量]],"")</f>
        <v>0.184798670114518</v>
      </c>
      <c r="Z197" s="16">
        <f>IFERROR(源数据[[#This Row],[三连投放总消耗(毫分)]]/源数据[[#This Row],[播放量]],"")</f>
        <v>0.0430648725637181</v>
      </c>
      <c r="AA19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98" s="2" customFormat="1" spans="1:27">
      <c r="A198" s="7">
        <v>46204</v>
      </c>
      <c r="B198" s="8" t="s">
        <v>490</v>
      </c>
      <c r="C198" s="8" t="s">
        <v>491</v>
      </c>
      <c r="D198" s="8" t="s">
        <v>91</v>
      </c>
      <c r="E198" s="8" t="s">
        <v>92</v>
      </c>
      <c r="F198" s="8" t="s">
        <v>115</v>
      </c>
      <c r="G198" s="9">
        <v>14829</v>
      </c>
      <c r="H198" s="9">
        <v>746</v>
      </c>
      <c r="I198" s="10">
        <v>172.25698</v>
      </c>
      <c r="J198" s="11">
        <v>172.2</v>
      </c>
      <c r="K198" s="12">
        <f t="shared" si="21"/>
        <v>0.0503068312091173</v>
      </c>
      <c r="L198" s="13">
        <f t="shared" si="22"/>
        <v>11.6162236158878</v>
      </c>
      <c r="M198" s="13">
        <f t="shared" si="23"/>
        <v>0.230907479892761</v>
      </c>
      <c r="N198" s="11">
        <v>0</v>
      </c>
      <c r="O198" s="11">
        <v>0</v>
      </c>
      <c r="P198" s="11">
        <v>183.63</v>
      </c>
      <c r="Q198" s="13">
        <f t="shared" si="24"/>
        <v>1.06602356548919</v>
      </c>
      <c r="R198" s="11">
        <v>183.63</v>
      </c>
      <c r="S198" s="13">
        <f t="shared" si="25"/>
        <v>1.06602356548919</v>
      </c>
      <c r="T198" s="9">
        <v>4488</v>
      </c>
      <c r="U198" s="13">
        <f t="shared" si="26"/>
        <v>26.0540966177394</v>
      </c>
      <c r="V198" s="12">
        <f t="shared" si="27"/>
        <v>0.302650212421606</v>
      </c>
      <c r="W198" s="17">
        <f>COUNTIFS(源数据[日期],源数据[[#This Row],[日期]],源数据[账号id],源数据[[#This Row],[账号id]])</f>
        <v>1</v>
      </c>
      <c r="X198" s="15">
        <f>IFERROR(源数据[[#This Row],[点击量]]/源数据[[#This Row],[展示量]],"")</f>
        <v>0.0503068312091173</v>
      </c>
      <c r="Y198" s="16">
        <f>IFERROR(源数据[[#This Row],[播放量]]/源数据[[#This Row],[展示量]],"")</f>
        <v>0.302650212421606</v>
      </c>
      <c r="Z198" s="16">
        <f>IFERROR(源数据[[#This Row],[三连投放总消耗(毫分)]]/源数据[[#This Row],[播放量]],"")</f>
        <v>0.0383816800356506</v>
      </c>
      <c r="AA19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199" s="2" customFormat="1" spans="1:27">
      <c r="A199" s="7">
        <v>46204</v>
      </c>
      <c r="B199" s="8" t="s">
        <v>492</v>
      </c>
      <c r="C199" s="8" t="s">
        <v>493</v>
      </c>
      <c r="D199" s="8" t="s">
        <v>91</v>
      </c>
      <c r="E199" s="8" t="s">
        <v>92</v>
      </c>
      <c r="F199" s="8" t="s">
        <v>96</v>
      </c>
      <c r="G199" s="9">
        <v>17847</v>
      </c>
      <c r="H199" s="9">
        <v>852</v>
      </c>
      <c r="I199" s="10">
        <v>170.02102</v>
      </c>
      <c r="J199" s="11">
        <v>169.95</v>
      </c>
      <c r="K199" s="12">
        <f t="shared" si="21"/>
        <v>0.0477391158177845</v>
      </c>
      <c r="L199" s="13">
        <f t="shared" si="22"/>
        <v>9.52658822211016</v>
      </c>
      <c r="M199" s="13">
        <f t="shared" si="23"/>
        <v>0.199555187793427</v>
      </c>
      <c r="N199" s="11">
        <v>0</v>
      </c>
      <c r="O199" s="11">
        <v>0</v>
      </c>
      <c r="P199" s="11">
        <v>183.4</v>
      </c>
      <c r="Q199" s="13">
        <f t="shared" si="24"/>
        <v>1.07869015254702</v>
      </c>
      <c r="R199" s="11">
        <v>183.4</v>
      </c>
      <c r="S199" s="13">
        <f t="shared" si="25"/>
        <v>1.07869015254702</v>
      </c>
      <c r="T199" s="9">
        <v>2418</v>
      </c>
      <c r="U199" s="13">
        <f t="shared" si="26"/>
        <v>14.2217709316177</v>
      </c>
      <c r="V199" s="12">
        <f t="shared" si="27"/>
        <v>0.135484955454698</v>
      </c>
      <c r="W199" s="17">
        <f>COUNTIFS(源数据[日期],源数据[[#This Row],[日期]],源数据[账号id],源数据[[#This Row],[账号id]])</f>
        <v>1</v>
      </c>
      <c r="X199" s="15">
        <f>IFERROR(源数据[[#This Row],[点击量]]/源数据[[#This Row],[展示量]],"")</f>
        <v>0.0477391158177845</v>
      </c>
      <c r="Y199" s="16">
        <f>IFERROR(源数据[[#This Row],[播放量]]/源数据[[#This Row],[展示量]],"")</f>
        <v>0.135484955454698</v>
      </c>
      <c r="Z199" s="16">
        <f>IFERROR(源数据[[#This Row],[三连投放总消耗(毫分)]]/源数据[[#This Row],[播放量]],"")</f>
        <v>0.0703147311827957</v>
      </c>
      <c r="AA19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00" s="2" customFormat="1" spans="1:27">
      <c r="A200" s="7">
        <v>46204</v>
      </c>
      <c r="B200" s="8" t="s">
        <v>494</v>
      </c>
      <c r="C200" s="8" t="s">
        <v>495</v>
      </c>
      <c r="D200" s="8" t="s">
        <v>91</v>
      </c>
      <c r="E200" s="8" t="s">
        <v>92</v>
      </c>
      <c r="F200" s="8" t="s">
        <v>101</v>
      </c>
      <c r="G200" s="9">
        <v>13085</v>
      </c>
      <c r="H200" s="9">
        <v>331</v>
      </c>
      <c r="I200" s="10">
        <v>168.32625</v>
      </c>
      <c r="J200" s="11">
        <v>168.21</v>
      </c>
      <c r="K200" s="12">
        <f t="shared" si="21"/>
        <v>0.0252961406190294</v>
      </c>
      <c r="L200" s="13">
        <f t="shared" si="22"/>
        <v>12.8640619029423</v>
      </c>
      <c r="M200" s="13">
        <f t="shared" si="23"/>
        <v>0.508538519637462</v>
      </c>
      <c r="N200" s="11">
        <v>0</v>
      </c>
      <c r="O200" s="11">
        <v>0</v>
      </c>
      <c r="P200" s="11">
        <v>157</v>
      </c>
      <c r="Q200" s="13">
        <f t="shared" si="24"/>
        <v>0.932712515130587</v>
      </c>
      <c r="R200" s="11">
        <v>157</v>
      </c>
      <c r="S200" s="13">
        <f t="shared" si="25"/>
        <v>0.932712515130587</v>
      </c>
      <c r="T200" s="9">
        <v>2866</v>
      </c>
      <c r="U200" s="13">
        <f t="shared" si="26"/>
        <v>17.0264590341673</v>
      </c>
      <c r="V200" s="12">
        <f t="shared" si="27"/>
        <v>0.219029423003439</v>
      </c>
      <c r="W200" s="17">
        <f>COUNTIFS(源数据[日期],源数据[[#This Row],[日期]],源数据[账号id],源数据[[#This Row],[账号id]])</f>
        <v>1</v>
      </c>
      <c r="X200" s="15">
        <f>IFERROR(源数据[[#This Row],[点击量]]/源数据[[#This Row],[展示量]],"")</f>
        <v>0.0252961406190294</v>
      </c>
      <c r="Y200" s="16">
        <f>IFERROR(源数据[[#This Row],[播放量]]/源数据[[#This Row],[展示量]],"")</f>
        <v>0.219029423003439</v>
      </c>
      <c r="Z200" s="16">
        <f>IFERROR(源数据[[#This Row],[三连投放总消耗(毫分)]]/源数据[[#This Row],[播放量]],"")</f>
        <v>0.0587321179344033</v>
      </c>
      <c r="AA20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01" s="2" customFormat="1" spans="1:27">
      <c r="A201" s="7">
        <v>46204</v>
      </c>
      <c r="B201" s="8" t="s">
        <v>496</v>
      </c>
      <c r="C201" s="8" t="s">
        <v>497</v>
      </c>
      <c r="D201" s="8" t="s">
        <v>91</v>
      </c>
      <c r="E201" s="8" t="s">
        <v>92</v>
      </c>
      <c r="F201" s="8" t="s">
        <v>115</v>
      </c>
      <c r="G201" s="9">
        <v>16880</v>
      </c>
      <c r="H201" s="9">
        <v>591</v>
      </c>
      <c r="I201" s="10">
        <v>168.11661</v>
      </c>
      <c r="J201" s="11">
        <v>168.03</v>
      </c>
      <c r="K201" s="12">
        <f t="shared" si="21"/>
        <v>0.0350118483412322</v>
      </c>
      <c r="L201" s="13">
        <f t="shared" si="22"/>
        <v>9.95951481042654</v>
      </c>
      <c r="M201" s="13">
        <f t="shared" si="23"/>
        <v>0.284461269035533</v>
      </c>
      <c r="N201" s="11">
        <v>0</v>
      </c>
      <c r="O201" s="11">
        <v>0</v>
      </c>
      <c r="P201" s="11">
        <v>165.49</v>
      </c>
      <c r="Q201" s="13">
        <f t="shared" si="24"/>
        <v>0.984376261215355</v>
      </c>
      <c r="R201" s="11">
        <v>165.49</v>
      </c>
      <c r="S201" s="13">
        <f t="shared" si="25"/>
        <v>0.984376261215355</v>
      </c>
      <c r="T201" s="9">
        <v>2822</v>
      </c>
      <c r="U201" s="13">
        <f t="shared" si="26"/>
        <v>16.785967787478</v>
      </c>
      <c r="V201" s="12">
        <f t="shared" si="27"/>
        <v>0.16718009478673</v>
      </c>
      <c r="W201" s="17">
        <f>COUNTIFS(源数据[日期],源数据[[#This Row],[日期]],源数据[账号id],源数据[[#This Row],[账号id]])</f>
        <v>1</v>
      </c>
      <c r="X201" s="15">
        <f>IFERROR(源数据[[#This Row],[点击量]]/源数据[[#This Row],[展示量]],"")</f>
        <v>0.0350118483412322</v>
      </c>
      <c r="Y201" s="16">
        <f>IFERROR(源数据[[#This Row],[播放量]]/源数据[[#This Row],[展示量]],"")</f>
        <v>0.16718009478673</v>
      </c>
      <c r="Z201" s="16">
        <f>IFERROR(源数据[[#This Row],[三连投放总消耗(毫分)]]/源数据[[#This Row],[播放量]],"")</f>
        <v>0.0595735683912119</v>
      </c>
      <c r="AA20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02" s="2" customFormat="1" spans="1:27">
      <c r="A202" s="7">
        <v>46204</v>
      </c>
      <c r="B202" s="8" t="s">
        <v>498</v>
      </c>
      <c r="C202" s="8" t="s">
        <v>499</v>
      </c>
      <c r="D202" s="8" t="s">
        <v>91</v>
      </c>
      <c r="E202" s="8" t="s">
        <v>92</v>
      </c>
      <c r="F202" s="8" t="s">
        <v>115</v>
      </c>
      <c r="G202" s="9">
        <v>38866</v>
      </c>
      <c r="H202" s="9">
        <v>515</v>
      </c>
      <c r="I202" s="10">
        <v>168.09604</v>
      </c>
      <c r="J202" s="11">
        <v>167.98</v>
      </c>
      <c r="K202" s="12">
        <f t="shared" si="21"/>
        <v>0.0132506561004477</v>
      </c>
      <c r="L202" s="13">
        <f t="shared" si="22"/>
        <v>4.3250151803633</v>
      </c>
      <c r="M202" s="13">
        <f t="shared" si="23"/>
        <v>0.326400077669903</v>
      </c>
      <c r="N202" s="11">
        <v>0</v>
      </c>
      <c r="O202" s="11">
        <v>0</v>
      </c>
      <c r="P202" s="11">
        <v>172.29</v>
      </c>
      <c r="Q202" s="13">
        <f t="shared" si="24"/>
        <v>1.02494978465882</v>
      </c>
      <c r="R202" s="11">
        <v>172.29</v>
      </c>
      <c r="S202" s="13">
        <f t="shared" si="25"/>
        <v>1.02494978465882</v>
      </c>
      <c r="T202" s="9">
        <v>3252</v>
      </c>
      <c r="U202" s="13">
        <f t="shared" si="26"/>
        <v>19.3460833461633</v>
      </c>
      <c r="V202" s="12">
        <f t="shared" si="27"/>
        <v>0.0836721041527299</v>
      </c>
      <c r="W202" s="17">
        <f>COUNTIFS(源数据[日期],源数据[[#This Row],[日期]],源数据[账号id],源数据[[#This Row],[账号id]])</f>
        <v>1</v>
      </c>
      <c r="X202" s="15">
        <f>IFERROR(源数据[[#This Row],[点击量]]/源数据[[#This Row],[展示量]],"")</f>
        <v>0.0132506561004477</v>
      </c>
      <c r="Y202" s="16">
        <f>IFERROR(源数据[[#This Row],[播放量]]/源数据[[#This Row],[展示量]],"")</f>
        <v>0.0836721041527299</v>
      </c>
      <c r="Z202" s="16">
        <f>IFERROR(源数据[[#This Row],[三连投放总消耗(毫分)]]/源数据[[#This Row],[播放量]],"")</f>
        <v>0.051690049200492</v>
      </c>
      <c r="AA20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03" s="2" customFormat="1" spans="1:27">
      <c r="A203" s="7">
        <v>46204</v>
      </c>
      <c r="B203" s="8" t="s">
        <v>500</v>
      </c>
      <c r="C203" s="8" t="s">
        <v>501</v>
      </c>
      <c r="D203" s="8" t="s">
        <v>91</v>
      </c>
      <c r="E203" s="8" t="s">
        <v>92</v>
      </c>
      <c r="F203" s="8" t="s">
        <v>93</v>
      </c>
      <c r="G203" s="9">
        <v>11396</v>
      </c>
      <c r="H203" s="9">
        <v>653</v>
      </c>
      <c r="I203" s="10">
        <v>166.96773</v>
      </c>
      <c r="J203" s="11">
        <v>166.86</v>
      </c>
      <c r="K203" s="12">
        <f t="shared" si="21"/>
        <v>0.0573008073008073</v>
      </c>
      <c r="L203" s="13">
        <f t="shared" si="22"/>
        <v>14.651432958933</v>
      </c>
      <c r="M203" s="13">
        <f t="shared" si="23"/>
        <v>0.255693307810107</v>
      </c>
      <c r="N203" s="11">
        <v>0</v>
      </c>
      <c r="O203" s="11">
        <v>0</v>
      </c>
      <c r="P203" s="11">
        <v>160.21</v>
      </c>
      <c r="Q203" s="13">
        <f t="shared" si="24"/>
        <v>0.959526730105273</v>
      </c>
      <c r="R203" s="11">
        <v>160.21</v>
      </c>
      <c r="S203" s="13">
        <f t="shared" si="25"/>
        <v>0.959526730105273</v>
      </c>
      <c r="T203" s="9">
        <v>2386</v>
      </c>
      <c r="U203" s="13">
        <f t="shared" si="26"/>
        <v>14.2901864929229</v>
      </c>
      <c r="V203" s="12">
        <f t="shared" si="27"/>
        <v>0.209371709371709</v>
      </c>
      <c r="W203" s="17">
        <f>COUNTIFS(源数据[日期],源数据[[#This Row],[日期]],源数据[账号id],源数据[[#This Row],[账号id]])</f>
        <v>1</v>
      </c>
      <c r="X203" s="15">
        <f>IFERROR(源数据[[#This Row],[点击量]]/源数据[[#This Row],[展示量]],"")</f>
        <v>0.0573008073008073</v>
      </c>
      <c r="Y203" s="16">
        <f>IFERROR(源数据[[#This Row],[播放量]]/源数据[[#This Row],[展示量]],"")</f>
        <v>0.209371709371709</v>
      </c>
      <c r="Z203" s="16">
        <f>IFERROR(源数据[[#This Row],[三连投放总消耗(毫分)]]/源数据[[#This Row],[播放量]],"")</f>
        <v>0.0699780930427494</v>
      </c>
      <c r="AA20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04" s="2" customFormat="1" spans="1:27">
      <c r="A204" s="7">
        <v>46204</v>
      </c>
      <c r="B204" s="8" t="s">
        <v>502</v>
      </c>
      <c r="C204" s="8" t="s">
        <v>503</v>
      </c>
      <c r="D204" s="8" t="s">
        <v>91</v>
      </c>
      <c r="E204" s="8" t="s">
        <v>92</v>
      </c>
      <c r="F204" s="8" t="s">
        <v>115</v>
      </c>
      <c r="G204" s="9">
        <v>14169</v>
      </c>
      <c r="H204" s="9">
        <v>604</v>
      </c>
      <c r="I204" s="10">
        <v>165.59414</v>
      </c>
      <c r="J204" s="11">
        <v>165.5</v>
      </c>
      <c r="K204" s="12">
        <f t="shared" si="21"/>
        <v>0.042628272990331</v>
      </c>
      <c r="L204" s="13">
        <f t="shared" si="22"/>
        <v>11.6870731879455</v>
      </c>
      <c r="M204" s="13">
        <f t="shared" si="23"/>
        <v>0.274162483443709</v>
      </c>
      <c r="N204" s="11">
        <v>0</v>
      </c>
      <c r="O204" s="11">
        <v>0</v>
      </c>
      <c r="P204" s="11">
        <v>171.21</v>
      </c>
      <c r="Q204" s="13">
        <f t="shared" si="24"/>
        <v>1.0339133981432</v>
      </c>
      <c r="R204" s="11">
        <v>171.21</v>
      </c>
      <c r="S204" s="13">
        <f t="shared" si="25"/>
        <v>1.0339133981432</v>
      </c>
      <c r="T204" s="9">
        <v>4287</v>
      </c>
      <c r="U204" s="13">
        <f t="shared" si="26"/>
        <v>25.8885972655796</v>
      </c>
      <c r="V204" s="12">
        <f t="shared" si="27"/>
        <v>0.302561930976075</v>
      </c>
      <c r="W204" s="17">
        <f>COUNTIFS(源数据[日期],源数据[[#This Row],[日期]],源数据[账号id],源数据[[#This Row],[账号id]])</f>
        <v>1</v>
      </c>
      <c r="X204" s="15">
        <f>IFERROR(源数据[[#This Row],[点击量]]/源数据[[#This Row],[展示量]],"")</f>
        <v>0.042628272990331</v>
      </c>
      <c r="Y204" s="16">
        <f>IFERROR(源数据[[#This Row],[播放量]]/源数据[[#This Row],[展示量]],"")</f>
        <v>0.302561930976075</v>
      </c>
      <c r="Z204" s="16">
        <f>IFERROR(源数据[[#This Row],[三连投放总消耗(毫分)]]/源数据[[#This Row],[播放量]],"")</f>
        <v>0.0386270445533007</v>
      </c>
      <c r="AA20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05" s="2" customFormat="1" spans="1:27">
      <c r="A205" s="7">
        <v>46204</v>
      </c>
      <c r="B205" s="8" t="s">
        <v>504</v>
      </c>
      <c r="C205" s="8" t="s">
        <v>505</v>
      </c>
      <c r="D205" s="8" t="s">
        <v>91</v>
      </c>
      <c r="E205" s="8" t="s">
        <v>92</v>
      </c>
      <c r="F205" s="8" t="s">
        <v>115</v>
      </c>
      <c r="G205" s="9">
        <v>10218</v>
      </c>
      <c r="H205" s="9">
        <v>546</v>
      </c>
      <c r="I205" s="10">
        <v>163.11164</v>
      </c>
      <c r="J205" s="11">
        <v>163.06</v>
      </c>
      <c r="K205" s="12">
        <f t="shared" si="21"/>
        <v>0.0534351145038168</v>
      </c>
      <c r="L205" s="13">
        <f t="shared" si="22"/>
        <v>15.9631669602662</v>
      </c>
      <c r="M205" s="13">
        <f t="shared" si="23"/>
        <v>0.298739267399267</v>
      </c>
      <c r="N205" s="11">
        <v>0</v>
      </c>
      <c r="O205" s="11">
        <v>0</v>
      </c>
      <c r="P205" s="11">
        <v>152.19</v>
      </c>
      <c r="Q205" s="13">
        <f t="shared" si="24"/>
        <v>0.933041933733239</v>
      </c>
      <c r="R205" s="11">
        <v>152.19</v>
      </c>
      <c r="S205" s="13">
        <f t="shared" si="25"/>
        <v>0.933041933733239</v>
      </c>
      <c r="T205" s="9">
        <v>3688</v>
      </c>
      <c r="U205" s="13">
        <f t="shared" si="26"/>
        <v>22.6102809094434</v>
      </c>
      <c r="V205" s="12">
        <f t="shared" si="27"/>
        <v>0.360931689175964</v>
      </c>
      <c r="W205" s="17">
        <f>COUNTIFS(源数据[日期],源数据[[#This Row],[日期]],源数据[账号id],源数据[[#This Row],[账号id]])</f>
        <v>1</v>
      </c>
      <c r="X205" s="15">
        <f>IFERROR(源数据[[#This Row],[点击量]]/源数据[[#This Row],[展示量]],"")</f>
        <v>0.0534351145038168</v>
      </c>
      <c r="Y205" s="16">
        <f>IFERROR(源数据[[#This Row],[播放量]]/源数据[[#This Row],[展示量]],"")</f>
        <v>0.360931689175964</v>
      </c>
      <c r="Z205" s="16">
        <f>IFERROR(源数据[[#This Row],[三连投放总消耗(毫分)]]/源数据[[#This Row],[播放量]],"")</f>
        <v>0.0442276681127983</v>
      </c>
      <c r="AA20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06" s="2" customFormat="1" spans="1:27">
      <c r="A206" s="7">
        <v>46204</v>
      </c>
      <c r="B206" s="8" t="s">
        <v>506</v>
      </c>
      <c r="C206" s="8" t="s">
        <v>507</v>
      </c>
      <c r="D206" s="8" t="s">
        <v>91</v>
      </c>
      <c r="E206" s="8" t="s">
        <v>92</v>
      </c>
      <c r="F206" s="8" t="s">
        <v>93</v>
      </c>
      <c r="G206" s="9">
        <v>15858</v>
      </c>
      <c r="H206" s="9">
        <v>993</v>
      </c>
      <c r="I206" s="10">
        <v>162.99002</v>
      </c>
      <c r="J206" s="11">
        <v>162.93</v>
      </c>
      <c r="K206" s="12">
        <f t="shared" si="21"/>
        <v>0.0626182368520621</v>
      </c>
      <c r="L206" s="13">
        <f t="shared" si="22"/>
        <v>10.278094337243</v>
      </c>
      <c r="M206" s="13">
        <f t="shared" si="23"/>
        <v>0.164138992950655</v>
      </c>
      <c r="N206" s="11">
        <v>0</v>
      </c>
      <c r="O206" s="11">
        <v>0</v>
      </c>
      <c r="P206" s="11">
        <v>170.32</v>
      </c>
      <c r="Q206" s="13">
        <f t="shared" si="24"/>
        <v>1.04497195595166</v>
      </c>
      <c r="R206" s="11">
        <v>170.32</v>
      </c>
      <c r="S206" s="13">
        <f t="shared" si="25"/>
        <v>1.04497195595166</v>
      </c>
      <c r="T206" s="9">
        <v>4407</v>
      </c>
      <c r="U206" s="13">
        <f t="shared" si="26"/>
        <v>27.0384652999</v>
      </c>
      <c r="V206" s="12">
        <f t="shared" si="27"/>
        <v>0.277903897086644</v>
      </c>
      <c r="W206" s="17">
        <f>COUNTIFS(源数据[日期],源数据[[#This Row],[日期]],源数据[账号id],源数据[[#This Row],[账号id]])</f>
        <v>1</v>
      </c>
      <c r="X206" s="15">
        <f>IFERROR(源数据[[#This Row],[点击量]]/源数据[[#This Row],[展示量]],"")</f>
        <v>0.0626182368520621</v>
      </c>
      <c r="Y206" s="16">
        <f>IFERROR(源数据[[#This Row],[播放量]]/源数据[[#This Row],[展示量]],"")</f>
        <v>0.277903897086644</v>
      </c>
      <c r="Z206" s="16">
        <f>IFERROR(源数据[[#This Row],[三连投放总消耗(毫分)]]/源数据[[#This Row],[播放量]],"")</f>
        <v>0.0369843476287724</v>
      </c>
      <c r="AA20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07" s="2" customFormat="1" spans="1:27">
      <c r="A207" s="7">
        <v>46204</v>
      </c>
      <c r="B207" s="8" t="s">
        <v>508</v>
      </c>
      <c r="C207" s="8" t="s">
        <v>509</v>
      </c>
      <c r="D207" s="8" t="s">
        <v>91</v>
      </c>
      <c r="E207" s="8" t="s">
        <v>92</v>
      </c>
      <c r="F207" s="8" t="s">
        <v>96</v>
      </c>
      <c r="G207" s="9">
        <v>16288</v>
      </c>
      <c r="H207" s="9">
        <v>728</v>
      </c>
      <c r="I207" s="10">
        <v>161.13148</v>
      </c>
      <c r="J207" s="11">
        <v>161.05</v>
      </c>
      <c r="K207" s="12">
        <f t="shared" si="21"/>
        <v>0.0446954813359529</v>
      </c>
      <c r="L207" s="13">
        <f t="shared" si="22"/>
        <v>9.89264980353635</v>
      </c>
      <c r="M207" s="13">
        <f t="shared" si="23"/>
        <v>0.221334450549451</v>
      </c>
      <c r="N207" s="11">
        <v>0</v>
      </c>
      <c r="O207" s="11">
        <v>0</v>
      </c>
      <c r="P207" s="11">
        <v>199.34</v>
      </c>
      <c r="Q207" s="13">
        <f t="shared" si="24"/>
        <v>1.23712635172221</v>
      </c>
      <c r="R207" s="11">
        <v>199.34</v>
      </c>
      <c r="S207" s="13">
        <f t="shared" si="25"/>
        <v>1.23712635172221</v>
      </c>
      <c r="T207" s="9">
        <v>1718</v>
      </c>
      <c r="U207" s="13">
        <f t="shared" si="26"/>
        <v>10.6621002922582</v>
      </c>
      <c r="V207" s="12">
        <f t="shared" si="27"/>
        <v>0.105476424361493</v>
      </c>
      <c r="W207" s="17">
        <f>COUNTIFS(源数据[日期],源数据[[#This Row],[日期]],源数据[账号id],源数据[[#This Row],[账号id]])</f>
        <v>1</v>
      </c>
      <c r="X207" s="15">
        <f>IFERROR(源数据[[#This Row],[点击量]]/源数据[[#This Row],[展示量]],"")</f>
        <v>0.0446954813359529</v>
      </c>
      <c r="Y207" s="16">
        <f>IFERROR(源数据[[#This Row],[播放量]]/源数据[[#This Row],[展示量]],"")</f>
        <v>0.105476424361493</v>
      </c>
      <c r="Z207" s="16">
        <f>IFERROR(源数据[[#This Row],[三连投放总消耗(毫分)]]/源数据[[#This Row],[播放量]],"")</f>
        <v>0.093790151338766</v>
      </c>
      <c r="AA20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08" s="2" customFormat="1" spans="1:27">
      <c r="A208" s="7">
        <v>46204</v>
      </c>
      <c r="B208" s="8" t="s">
        <v>510</v>
      </c>
      <c r="C208" s="8" t="s">
        <v>511</v>
      </c>
      <c r="D208" s="8" t="s">
        <v>91</v>
      </c>
      <c r="E208" s="8" t="s">
        <v>92</v>
      </c>
      <c r="F208" s="8" t="s">
        <v>96</v>
      </c>
      <c r="G208" s="9">
        <v>19451</v>
      </c>
      <c r="H208" s="9">
        <v>452</v>
      </c>
      <c r="I208" s="10">
        <v>160.68464</v>
      </c>
      <c r="J208" s="11">
        <v>160.59</v>
      </c>
      <c r="K208" s="12">
        <f t="shared" si="21"/>
        <v>0.0232378798005244</v>
      </c>
      <c r="L208" s="13">
        <f t="shared" si="22"/>
        <v>8.26099634980207</v>
      </c>
      <c r="M208" s="13">
        <f t="shared" si="23"/>
        <v>0.355496991150442</v>
      </c>
      <c r="N208" s="11">
        <v>0</v>
      </c>
      <c r="O208" s="11">
        <v>0</v>
      </c>
      <c r="P208" s="11">
        <v>165.53</v>
      </c>
      <c r="Q208" s="13">
        <f t="shared" si="24"/>
        <v>1.03015446902703</v>
      </c>
      <c r="R208" s="11">
        <v>165.53</v>
      </c>
      <c r="S208" s="13">
        <f t="shared" si="25"/>
        <v>1.03015446902703</v>
      </c>
      <c r="T208" s="9">
        <v>3241</v>
      </c>
      <c r="U208" s="13">
        <f t="shared" si="26"/>
        <v>20.1699428146959</v>
      </c>
      <c r="V208" s="12">
        <f t="shared" si="27"/>
        <v>0.166623823967919</v>
      </c>
      <c r="W208" s="17">
        <f>COUNTIFS(源数据[日期],源数据[[#This Row],[日期]],源数据[账号id],源数据[[#This Row],[账号id]])</f>
        <v>1</v>
      </c>
      <c r="X208" s="15">
        <f>IFERROR(源数据[[#This Row],[点击量]]/源数据[[#This Row],[展示量]],"")</f>
        <v>0.0232378798005244</v>
      </c>
      <c r="Y208" s="16">
        <f>IFERROR(源数据[[#This Row],[播放量]]/源数据[[#This Row],[展示量]],"")</f>
        <v>0.166623823967919</v>
      </c>
      <c r="Z208" s="16">
        <f>IFERROR(源数据[[#This Row],[三连投放总消耗(毫分)]]/源数据[[#This Row],[播放量]],"")</f>
        <v>0.0495787226164764</v>
      </c>
      <c r="AA20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09" s="2" customFormat="1" spans="1:27">
      <c r="A209" s="7">
        <v>46204</v>
      </c>
      <c r="B209" s="8" t="s">
        <v>512</v>
      </c>
      <c r="C209" s="8" t="s">
        <v>513</v>
      </c>
      <c r="D209" s="8" t="s">
        <v>91</v>
      </c>
      <c r="E209" s="8" t="s">
        <v>92</v>
      </c>
      <c r="F209" s="8" t="s">
        <v>96</v>
      </c>
      <c r="G209" s="9">
        <v>13059</v>
      </c>
      <c r="H209" s="9">
        <v>530</v>
      </c>
      <c r="I209" s="10">
        <v>156.12393</v>
      </c>
      <c r="J209" s="11">
        <v>156.05</v>
      </c>
      <c r="K209" s="12">
        <f t="shared" si="21"/>
        <v>0.0405850371391378</v>
      </c>
      <c r="L209" s="13">
        <f t="shared" si="22"/>
        <v>11.9552745233173</v>
      </c>
      <c r="M209" s="13">
        <f t="shared" si="23"/>
        <v>0.294573452830189</v>
      </c>
      <c r="N209" s="11">
        <v>0</v>
      </c>
      <c r="O209" s="11">
        <v>0</v>
      </c>
      <c r="P209" s="11">
        <v>167.24</v>
      </c>
      <c r="Q209" s="13">
        <f t="shared" si="24"/>
        <v>1.07120029581628</v>
      </c>
      <c r="R209" s="11">
        <v>167.24</v>
      </c>
      <c r="S209" s="13">
        <f t="shared" si="25"/>
        <v>1.07120029581628</v>
      </c>
      <c r="T209" s="9">
        <v>3094</v>
      </c>
      <c r="U209" s="13">
        <f t="shared" si="26"/>
        <v>19.817589782681</v>
      </c>
      <c r="V209" s="12">
        <f t="shared" si="27"/>
        <v>0.236924726242438</v>
      </c>
      <c r="W209" s="17">
        <f>COUNTIFS(源数据[日期],源数据[[#This Row],[日期]],源数据[账号id],源数据[[#This Row],[账号id]])</f>
        <v>1</v>
      </c>
      <c r="X209" s="15">
        <f>IFERROR(源数据[[#This Row],[点击量]]/源数据[[#This Row],[展示量]],"")</f>
        <v>0.0405850371391378</v>
      </c>
      <c r="Y209" s="16">
        <f>IFERROR(源数据[[#This Row],[播放量]]/源数据[[#This Row],[展示量]],"")</f>
        <v>0.236924726242438</v>
      </c>
      <c r="Z209" s="16">
        <f>IFERROR(源数据[[#This Row],[三连投放总消耗(毫分)]]/源数据[[#This Row],[播放量]],"")</f>
        <v>0.0504602230122818</v>
      </c>
      <c r="AA20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10" s="2" customFormat="1" spans="1:27">
      <c r="A210" s="7">
        <v>46204</v>
      </c>
      <c r="B210" s="8" t="s">
        <v>514</v>
      </c>
      <c r="C210" s="8" t="s">
        <v>515</v>
      </c>
      <c r="D210" s="8" t="s">
        <v>91</v>
      </c>
      <c r="E210" s="8" t="s">
        <v>92</v>
      </c>
      <c r="F210" s="8" t="s">
        <v>93</v>
      </c>
      <c r="G210" s="9">
        <v>32102</v>
      </c>
      <c r="H210" s="9">
        <v>757</v>
      </c>
      <c r="I210" s="10">
        <v>155.97726</v>
      </c>
      <c r="J210" s="11">
        <v>155.9</v>
      </c>
      <c r="K210" s="12">
        <f t="shared" si="21"/>
        <v>0.0235810852906361</v>
      </c>
      <c r="L210" s="13">
        <f t="shared" si="22"/>
        <v>4.85880194380412</v>
      </c>
      <c r="M210" s="13">
        <f t="shared" si="23"/>
        <v>0.206046578599736</v>
      </c>
      <c r="N210" s="11">
        <v>0</v>
      </c>
      <c r="O210" s="11">
        <v>0</v>
      </c>
      <c r="P210" s="11">
        <v>138.28</v>
      </c>
      <c r="Q210" s="13">
        <f t="shared" si="24"/>
        <v>0.886539486589263</v>
      </c>
      <c r="R210" s="11">
        <v>138.28</v>
      </c>
      <c r="S210" s="13">
        <f t="shared" si="25"/>
        <v>0.886539486589263</v>
      </c>
      <c r="T210" s="9">
        <v>3602</v>
      </c>
      <c r="U210" s="13">
        <f t="shared" si="26"/>
        <v>23.0931098546032</v>
      </c>
      <c r="V210" s="12">
        <f t="shared" si="27"/>
        <v>0.112204847050028</v>
      </c>
      <c r="W210" s="17">
        <f>COUNTIFS(源数据[日期],源数据[[#This Row],[日期]],源数据[账号id],源数据[[#This Row],[账号id]])</f>
        <v>1</v>
      </c>
      <c r="X210" s="15">
        <f>IFERROR(源数据[[#This Row],[点击量]]/源数据[[#This Row],[展示量]],"")</f>
        <v>0.0235810852906361</v>
      </c>
      <c r="Y210" s="16">
        <f>IFERROR(源数据[[#This Row],[播放量]]/源数据[[#This Row],[展示量]],"")</f>
        <v>0.112204847050028</v>
      </c>
      <c r="Z210" s="16">
        <f>IFERROR(源数据[[#This Row],[三连投放总消耗(毫分)]]/源数据[[#This Row],[播放量]],"")</f>
        <v>0.0433029594669628</v>
      </c>
      <c r="AA21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11" s="2" customFormat="1" spans="1:27">
      <c r="A211" s="7">
        <v>46204</v>
      </c>
      <c r="B211" s="8" t="s">
        <v>516</v>
      </c>
      <c r="C211" s="8" t="s">
        <v>517</v>
      </c>
      <c r="D211" s="8" t="s">
        <v>91</v>
      </c>
      <c r="E211" s="8" t="s">
        <v>92</v>
      </c>
      <c r="F211" s="8" t="s">
        <v>115</v>
      </c>
      <c r="G211" s="9">
        <v>28300</v>
      </c>
      <c r="H211" s="9">
        <v>432</v>
      </c>
      <c r="I211" s="10">
        <v>155.28696</v>
      </c>
      <c r="J211" s="11">
        <v>155.19</v>
      </c>
      <c r="K211" s="12">
        <f t="shared" si="21"/>
        <v>0.0152650176678445</v>
      </c>
      <c r="L211" s="13">
        <f t="shared" si="22"/>
        <v>5.48717173144876</v>
      </c>
      <c r="M211" s="13">
        <f t="shared" si="23"/>
        <v>0.359460555555556</v>
      </c>
      <c r="N211" s="11">
        <v>0</v>
      </c>
      <c r="O211" s="11">
        <v>0</v>
      </c>
      <c r="P211" s="11">
        <v>153.36</v>
      </c>
      <c r="Q211" s="13">
        <f t="shared" si="24"/>
        <v>0.987590973511234</v>
      </c>
      <c r="R211" s="11">
        <v>153.36</v>
      </c>
      <c r="S211" s="13">
        <f t="shared" si="25"/>
        <v>0.987590973511234</v>
      </c>
      <c r="T211" s="9">
        <v>2537</v>
      </c>
      <c r="U211" s="13">
        <f t="shared" si="26"/>
        <v>16.3374954342593</v>
      </c>
      <c r="V211" s="12">
        <f t="shared" si="27"/>
        <v>0.0896466431095406</v>
      </c>
      <c r="W211" s="17">
        <f>COUNTIFS(源数据[日期],源数据[[#This Row],[日期]],源数据[账号id],源数据[[#This Row],[账号id]])</f>
        <v>1</v>
      </c>
      <c r="X211" s="15">
        <f>IFERROR(源数据[[#This Row],[点击量]]/源数据[[#This Row],[展示量]],"")</f>
        <v>0.0152650176678445</v>
      </c>
      <c r="Y211" s="16">
        <f>IFERROR(源数据[[#This Row],[播放量]]/源数据[[#This Row],[展示量]],"")</f>
        <v>0.0896466431095406</v>
      </c>
      <c r="Z211" s="16">
        <f>IFERROR(源数据[[#This Row],[三连投放总消耗(毫分)]]/源数据[[#This Row],[播放量]],"")</f>
        <v>0.0612088923925897</v>
      </c>
      <c r="AA21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12" s="2" customFormat="1" spans="1:27">
      <c r="A212" s="7">
        <v>46204</v>
      </c>
      <c r="B212" s="8" t="s">
        <v>518</v>
      </c>
      <c r="C212" s="8" t="s">
        <v>519</v>
      </c>
      <c r="D212" s="8" t="s">
        <v>91</v>
      </c>
      <c r="E212" s="8" t="s">
        <v>92</v>
      </c>
      <c r="F212" s="8" t="s">
        <v>213</v>
      </c>
      <c r="G212" s="9">
        <v>21118</v>
      </c>
      <c r="H212" s="9">
        <v>455</v>
      </c>
      <c r="I212" s="10">
        <v>152.87266</v>
      </c>
      <c r="J212" s="11">
        <v>152.82</v>
      </c>
      <c r="K212" s="12">
        <f t="shared" si="21"/>
        <v>0.021545600909177</v>
      </c>
      <c r="L212" s="13">
        <f t="shared" si="22"/>
        <v>7.23897433469079</v>
      </c>
      <c r="M212" s="13">
        <f t="shared" si="23"/>
        <v>0.335983868131868</v>
      </c>
      <c r="N212" s="11">
        <v>0</v>
      </c>
      <c r="O212" s="11">
        <v>0</v>
      </c>
      <c r="P212" s="11">
        <v>167.95</v>
      </c>
      <c r="Q212" s="13">
        <f t="shared" si="24"/>
        <v>1.09862679173634</v>
      </c>
      <c r="R212" s="11">
        <v>167.95</v>
      </c>
      <c r="S212" s="13">
        <f t="shared" si="25"/>
        <v>1.09862679173634</v>
      </c>
      <c r="T212" s="9">
        <v>6404</v>
      </c>
      <c r="U212" s="13">
        <f t="shared" si="26"/>
        <v>41.8910745714767</v>
      </c>
      <c r="V212" s="12">
        <f t="shared" si="27"/>
        <v>0.303248413675537</v>
      </c>
      <c r="W212" s="17">
        <f>COUNTIFS(源数据[日期],源数据[[#This Row],[日期]],源数据[账号id],源数据[[#This Row],[账号id]])</f>
        <v>1</v>
      </c>
      <c r="X212" s="15">
        <f>IFERROR(源数据[[#This Row],[点击量]]/源数据[[#This Row],[展示量]],"")</f>
        <v>0.021545600909177</v>
      </c>
      <c r="Y212" s="16">
        <f>IFERROR(源数据[[#This Row],[播放量]]/源数据[[#This Row],[展示量]],"")</f>
        <v>0.303248413675537</v>
      </c>
      <c r="Z212" s="16">
        <f>IFERROR(源数据[[#This Row],[三连投放总消耗(毫分)]]/源数据[[#This Row],[播放量]],"")</f>
        <v>0.0238714334790756</v>
      </c>
      <c r="AA21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13" s="2" customFormat="1" spans="1:27">
      <c r="A213" s="7">
        <v>46204</v>
      </c>
      <c r="B213" s="8" t="s">
        <v>520</v>
      </c>
      <c r="C213" s="8" t="s">
        <v>521</v>
      </c>
      <c r="D213" s="8" t="s">
        <v>91</v>
      </c>
      <c r="E213" s="8" t="s">
        <v>92</v>
      </c>
      <c r="F213" s="8" t="s">
        <v>115</v>
      </c>
      <c r="G213" s="9">
        <v>11648</v>
      </c>
      <c r="H213" s="9">
        <v>557</v>
      </c>
      <c r="I213" s="10">
        <v>152.65137</v>
      </c>
      <c r="J213" s="11">
        <v>152.57</v>
      </c>
      <c r="K213" s="12">
        <f t="shared" si="21"/>
        <v>0.0478193681318681</v>
      </c>
      <c r="L213" s="13">
        <f t="shared" si="22"/>
        <v>13.1053717376374</v>
      </c>
      <c r="M213" s="13">
        <f t="shared" si="23"/>
        <v>0.274059910233393</v>
      </c>
      <c r="N213" s="11">
        <v>0</v>
      </c>
      <c r="O213" s="11">
        <v>0</v>
      </c>
      <c r="P213" s="11">
        <v>149.92</v>
      </c>
      <c r="Q213" s="13">
        <f t="shared" si="24"/>
        <v>0.982107137328672</v>
      </c>
      <c r="R213" s="11">
        <v>149.92</v>
      </c>
      <c r="S213" s="13">
        <f t="shared" si="25"/>
        <v>0.982107137328672</v>
      </c>
      <c r="T213" s="9">
        <v>3675</v>
      </c>
      <c r="U213" s="13">
        <f t="shared" si="26"/>
        <v>24.0744645789946</v>
      </c>
      <c r="V213" s="12">
        <f t="shared" si="27"/>
        <v>0.315504807692308</v>
      </c>
      <c r="W213" s="17">
        <f>COUNTIFS(源数据[日期],源数据[[#This Row],[日期]],源数据[账号id],源数据[[#This Row],[账号id]])</f>
        <v>1</v>
      </c>
      <c r="X213" s="15">
        <f>IFERROR(源数据[[#This Row],[点击量]]/源数据[[#This Row],[展示量]],"")</f>
        <v>0.0478193681318681</v>
      </c>
      <c r="Y213" s="16">
        <f>IFERROR(源数据[[#This Row],[播放量]]/源数据[[#This Row],[展示量]],"")</f>
        <v>0.315504807692308</v>
      </c>
      <c r="Z213" s="16">
        <f>IFERROR(源数据[[#This Row],[三连投放总消耗(毫分)]]/源数据[[#This Row],[播放量]],"")</f>
        <v>0.041537787755102</v>
      </c>
      <c r="AA21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14" s="2" customFormat="1" spans="1:27">
      <c r="A214" s="7">
        <v>46204</v>
      </c>
      <c r="B214" s="8" t="s">
        <v>522</v>
      </c>
      <c r="C214" s="8" t="s">
        <v>523</v>
      </c>
      <c r="D214" s="8" t="s">
        <v>91</v>
      </c>
      <c r="E214" s="8" t="s">
        <v>92</v>
      </c>
      <c r="F214" s="8" t="s">
        <v>96</v>
      </c>
      <c r="G214" s="9">
        <v>12391</v>
      </c>
      <c r="H214" s="9">
        <v>855</v>
      </c>
      <c r="I214" s="10">
        <v>151.35178</v>
      </c>
      <c r="J214" s="11">
        <v>151.29</v>
      </c>
      <c r="K214" s="12">
        <f t="shared" si="21"/>
        <v>0.0690016947784682</v>
      </c>
      <c r="L214" s="13">
        <f t="shared" si="22"/>
        <v>12.2146541844887</v>
      </c>
      <c r="M214" s="13">
        <f t="shared" si="23"/>
        <v>0.177019625730994</v>
      </c>
      <c r="N214" s="11">
        <v>0</v>
      </c>
      <c r="O214" s="11">
        <v>0</v>
      </c>
      <c r="P214" s="11">
        <v>165.09</v>
      </c>
      <c r="Q214" s="13">
        <f t="shared" si="24"/>
        <v>1.0907701250689</v>
      </c>
      <c r="R214" s="11">
        <v>165.09</v>
      </c>
      <c r="S214" s="13">
        <f t="shared" si="25"/>
        <v>1.0907701250689</v>
      </c>
      <c r="T214" s="9">
        <v>2202</v>
      </c>
      <c r="U214" s="13">
        <f t="shared" si="26"/>
        <v>14.5488873669011</v>
      </c>
      <c r="V214" s="12">
        <f t="shared" si="27"/>
        <v>0.177709627955774</v>
      </c>
      <c r="W214" s="17">
        <f>COUNTIFS(源数据[日期],源数据[[#This Row],[日期]],源数据[账号id],源数据[[#This Row],[账号id]])</f>
        <v>1</v>
      </c>
      <c r="X214" s="15">
        <f>IFERROR(源数据[[#This Row],[点击量]]/源数据[[#This Row],[展示量]],"")</f>
        <v>0.0690016947784682</v>
      </c>
      <c r="Y214" s="16">
        <f>IFERROR(源数据[[#This Row],[播放量]]/源数据[[#This Row],[展示量]],"")</f>
        <v>0.177709627955774</v>
      </c>
      <c r="Z214" s="16">
        <f>IFERROR(源数据[[#This Row],[三连投放总消耗(毫分)]]/源数据[[#This Row],[播放量]],"")</f>
        <v>0.0687337783832879</v>
      </c>
      <c r="AA21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15" s="2" customFormat="1" spans="1:27">
      <c r="A215" s="7">
        <v>46204</v>
      </c>
      <c r="B215" s="8" t="s">
        <v>524</v>
      </c>
      <c r="C215" s="8" t="s">
        <v>525</v>
      </c>
      <c r="D215" s="8" t="s">
        <v>91</v>
      </c>
      <c r="E215" s="8" t="s">
        <v>92</v>
      </c>
      <c r="F215" s="8" t="s">
        <v>152</v>
      </c>
      <c r="G215" s="9">
        <v>7894</v>
      </c>
      <c r="H215" s="9">
        <v>2225</v>
      </c>
      <c r="I215" s="10">
        <v>150.53023</v>
      </c>
      <c r="J215" s="11">
        <v>150.49</v>
      </c>
      <c r="K215" s="12">
        <f t="shared" si="21"/>
        <v>0.281859640233088</v>
      </c>
      <c r="L215" s="13">
        <f t="shared" si="22"/>
        <v>19.0689422346086</v>
      </c>
      <c r="M215" s="13">
        <f t="shared" si="23"/>
        <v>0.0676540359550562</v>
      </c>
      <c r="N215" s="11">
        <v>0</v>
      </c>
      <c r="O215" s="11">
        <v>0</v>
      </c>
      <c r="P215" s="11">
        <v>116.38</v>
      </c>
      <c r="Q215" s="13">
        <f t="shared" si="24"/>
        <v>0.77313374197329</v>
      </c>
      <c r="R215" s="11">
        <v>116.38</v>
      </c>
      <c r="S215" s="13">
        <f t="shared" si="25"/>
        <v>0.77313374197329</v>
      </c>
      <c r="T215" s="9">
        <v>2208</v>
      </c>
      <c r="U215" s="13">
        <f t="shared" si="26"/>
        <v>14.6681500453431</v>
      </c>
      <c r="V215" s="12">
        <f t="shared" si="27"/>
        <v>0.279706105903218</v>
      </c>
      <c r="W215" s="17">
        <f>COUNTIFS(源数据[日期],源数据[[#This Row],[日期]],源数据[账号id],源数据[[#This Row],[账号id]])</f>
        <v>1</v>
      </c>
      <c r="X215" s="15">
        <f>IFERROR(源数据[[#This Row],[点击量]]/源数据[[#This Row],[展示量]],"")</f>
        <v>0.281859640233088</v>
      </c>
      <c r="Y215" s="16">
        <f>IFERROR(源数据[[#This Row],[播放量]]/源数据[[#This Row],[展示量]],"")</f>
        <v>0.279706105903218</v>
      </c>
      <c r="Z215" s="16">
        <f>IFERROR(源数据[[#This Row],[三连投放总消耗(毫分)]]/源数据[[#This Row],[播放量]],"")</f>
        <v>0.0681749230072464</v>
      </c>
      <c r="AA21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16" s="2" customFormat="1" spans="1:27">
      <c r="A216" s="7">
        <v>46204</v>
      </c>
      <c r="B216" s="8" t="s">
        <v>526</v>
      </c>
      <c r="C216" s="8" t="s">
        <v>527</v>
      </c>
      <c r="D216" s="8" t="s">
        <v>91</v>
      </c>
      <c r="E216" s="8" t="s">
        <v>92</v>
      </c>
      <c r="F216" s="8" t="s">
        <v>115</v>
      </c>
      <c r="G216" s="9">
        <v>9521</v>
      </c>
      <c r="H216" s="9">
        <v>499</v>
      </c>
      <c r="I216" s="10">
        <v>149.69078</v>
      </c>
      <c r="J216" s="11">
        <v>149.61</v>
      </c>
      <c r="K216" s="12">
        <f t="shared" si="21"/>
        <v>0.0524104610860204</v>
      </c>
      <c r="L216" s="13">
        <f t="shared" si="22"/>
        <v>15.7221699401323</v>
      </c>
      <c r="M216" s="13">
        <f t="shared" si="23"/>
        <v>0.299981523046092</v>
      </c>
      <c r="N216" s="11">
        <v>0</v>
      </c>
      <c r="O216" s="11">
        <v>0</v>
      </c>
      <c r="P216" s="11">
        <v>181.7</v>
      </c>
      <c r="Q216" s="13">
        <f t="shared" si="24"/>
        <v>1.21383561499245</v>
      </c>
      <c r="R216" s="11">
        <v>181.7</v>
      </c>
      <c r="S216" s="13">
        <f t="shared" si="25"/>
        <v>1.21383561499245</v>
      </c>
      <c r="T216" s="9">
        <v>1747</v>
      </c>
      <c r="U216" s="13">
        <f t="shared" si="26"/>
        <v>11.6707254782158</v>
      </c>
      <c r="V216" s="12">
        <f t="shared" si="27"/>
        <v>0.183489129293141</v>
      </c>
      <c r="W216" s="17">
        <f>COUNTIFS(源数据[日期],源数据[[#This Row],[日期]],源数据[账号id],源数据[[#This Row],[账号id]])</f>
        <v>1</v>
      </c>
      <c r="X216" s="15">
        <f>IFERROR(源数据[[#This Row],[点击量]]/源数据[[#This Row],[展示量]],"")</f>
        <v>0.0524104610860204</v>
      </c>
      <c r="Y216" s="16">
        <f>IFERROR(源数据[[#This Row],[播放量]]/源数据[[#This Row],[展示量]],"")</f>
        <v>0.183489129293141</v>
      </c>
      <c r="Z216" s="16">
        <f>IFERROR(源数据[[#This Row],[三连投放总消耗(毫分)]]/源数据[[#This Row],[播放量]],"")</f>
        <v>0.0856844762449914</v>
      </c>
      <c r="AA21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17" s="2" customFormat="1" spans="1:27">
      <c r="A217" s="7">
        <v>46204</v>
      </c>
      <c r="B217" s="8" t="s">
        <v>528</v>
      </c>
      <c r="C217" s="8" t="s">
        <v>529</v>
      </c>
      <c r="D217" s="8" t="s">
        <v>91</v>
      </c>
      <c r="E217" s="8" t="s">
        <v>92</v>
      </c>
      <c r="F217" s="8" t="s">
        <v>152</v>
      </c>
      <c r="G217" s="9">
        <v>3968</v>
      </c>
      <c r="H217" s="9">
        <v>1608</v>
      </c>
      <c r="I217" s="10">
        <v>149.49352</v>
      </c>
      <c r="J217" s="11">
        <v>149.46</v>
      </c>
      <c r="K217" s="12">
        <f t="shared" si="21"/>
        <v>0.405241935483871</v>
      </c>
      <c r="L217" s="13">
        <f t="shared" si="22"/>
        <v>37.6747782258064</v>
      </c>
      <c r="M217" s="13">
        <f t="shared" si="23"/>
        <v>0.0929686069651741</v>
      </c>
      <c r="N217" s="11">
        <v>0</v>
      </c>
      <c r="O217" s="11">
        <v>0</v>
      </c>
      <c r="P217" s="11">
        <v>114.1</v>
      </c>
      <c r="Q217" s="13">
        <f t="shared" si="24"/>
        <v>0.763243784747326</v>
      </c>
      <c r="R217" s="11">
        <v>114.1</v>
      </c>
      <c r="S217" s="13">
        <f t="shared" si="25"/>
        <v>0.763243784747326</v>
      </c>
      <c r="T217" s="9">
        <v>2183</v>
      </c>
      <c r="U217" s="13">
        <f t="shared" si="26"/>
        <v>14.6026396328082</v>
      </c>
      <c r="V217" s="12">
        <f t="shared" si="27"/>
        <v>0.550151209677419</v>
      </c>
      <c r="W217" s="17">
        <f>COUNTIFS(源数据[日期],源数据[[#This Row],[日期]],源数据[账号id],源数据[[#This Row],[账号id]])</f>
        <v>1</v>
      </c>
      <c r="X217" s="15">
        <f>IFERROR(源数据[[#This Row],[点击量]]/源数据[[#This Row],[展示量]],"")</f>
        <v>0.405241935483871</v>
      </c>
      <c r="Y217" s="16">
        <f>IFERROR(源数据[[#This Row],[播放量]]/源数据[[#This Row],[展示量]],"")</f>
        <v>0.550151209677419</v>
      </c>
      <c r="Z217" s="16">
        <f>IFERROR(源数据[[#This Row],[三连投放总消耗(毫分)]]/源数据[[#This Row],[播放量]],"")</f>
        <v>0.0684807695831425</v>
      </c>
      <c r="AA21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18" s="2" customFormat="1" spans="1:27">
      <c r="A218" s="7">
        <v>46204</v>
      </c>
      <c r="B218" s="8" t="s">
        <v>530</v>
      </c>
      <c r="C218" s="8" t="s">
        <v>531</v>
      </c>
      <c r="D218" s="8" t="s">
        <v>91</v>
      </c>
      <c r="E218" s="8" t="s">
        <v>92</v>
      </c>
      <c r="F218" s="8" t="s">
        <v>93</v>
      </c>
      <c r="G218" s="9">
        <v>13933</v>
      </c>
      <c r="H218" s="9">
        <v>713</v>
      </c>
      <c r="I218" s="10">
        <v>147.5052</v>
      </c>
      <c r="J218" s="11">
        <v>147.39</v>
      </c>
      <c r="K218" s="12">
        <f t="shared" si="21"/>
        <v>0.0511734730495945</v>
      </c>
      <c r="L218" s="13">
        <f t="shared" si="22"/>
        <v>10.5867508792076</v>
      </c>
      <c r="M218" s="13">
        <f t="shared" si="23"/>
        <v>0.206879663394109</v>
      </c>
      <c r="N218" s="11">
        <v>0</v>
      </c>
      <c r="O218" s="11">
        <v>0</v>
      </c>
      <c r="P218" s="11">
        <v>157.49</v>
      </c>
      <c r="Q218" s="13">
        <f t="shared" si="24"/>
        <v>1.06769117292136</v>
      </c>
      <c r="R218" s="11">
        <v>157.49</v>
      </c>
      <c r="S218" s="13">
        <f t="shared" si="25"/>
        <v>1.06769117292136</v>
      </c>
      <c r="T218" s="9">
        <v>4531</v>
      </c>
      <c r="U218" s="13">
        <f t="shared" si="26"/>
        <v>30.7175611436071</v>
      </c>
      <c r="V218" s="12">
        <f t="shared" si="27"/>
        <v>0.325199167444197</v>
      </c>
      <c r="W218" s="17">
        <f>COUNTIFS(源数据[日期],源数据[[#This Row],[日期]],源数据[账号id],源数据[[#This Row],[账号id]])</f>
        <v>1</v>
      </c>
      <c r="X218" s="15">
        <f>IFERROR(源数据[[#This Row],[点击量]]/源数据[[#This Row],[展示量]],"")</f>
        <v>0.0511734730495945</v>
      </c>
      <c r="Y218" s="16">
        <f>IFERROR(源数据[[#This Row],[播放量]]/源数据[[#This Row],[展示量]],"")</f>
        <v>0.325199167444197</v>
      </c>
      <c r="Z218" s="16">
        <f>IFERROR(源数据[[#This Row],[三连投放总消耗(毫分)]]/源数据[[#This Row],[播放量]],"")</f>
        <v>0.0325546678437431</v>
      </c>
      <c r="AA21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19" s="2" customFormat="1" spans="1:27">
      <c r="A219" s="7">
        <v>46204</v>
      </c>
      <c r="B219" s="8" t="s">
        <v>532</v>
      </c>
      <c r="C219" s="8" t="s">
        <v>533</v>
      </c>
      <c r="D219" s="8" t="s">
        <v>91</v>
      </c>
      <c r="E219" s="8" t="s">
        <v>92</v>
      </c>
      <c r="F219" s="8" t="s">
        <v>93</v>
      </c>
      <c r="G219" s="9">
        <v>24610</v>
      </c>
      <c r="H219" s="9">
        <v>462</v>
      </c>
      <c r="I219" s="10">
        <v>146.95317</v>
      </c>
      <c r="J219" s="11">
        <v>146.85</v>
      </c>
      <c r="K219" s="12">
        <f t="shared" si="21"/>
        <v>0.018772856562373</v>
      </c>
      <c r="L219" s="13">
        <f t="shared" si="22"/>
        <v>5.97127874847623</v>
      </c>
      <c r="M219" s="13">
        <f t="shared" si="23"/>
        <v>0.318080454545455</v>
      </c>
      <c r="N219" s="11">
        <v>0</v>
      </c>
      <c r="O219" s="11">
        <v>0</v>
      </c>
      <c r="P219" s="11">
        <v>125.93</v>
      </c>
      <c r="Q219" s="13">
        <f t="shared" si="24"/>
        <v>0.856939663159359</v>
      </c>
      <c r="R219" s="11">
        <v>125.93</v>
      </c>
      <c r="S219" s="13">
        <f t="shared" si="25"/>
        <v>0.856939663159359</v>
      </c>
      <c r="T219" s="9">
        <v>3078</v>
      </c>
      <c r="U219" s="13">
        <f t="shared" si="26"/>
        <v>20.9454481315374</v>
      </c>
      <c r="V219" s="12">
        <f t="shared" si="27"/>
        <v>0.12507110930516</v>
      </c>
      <c r="W219" s="17">
        <f>COUNTIFS(源数据[日期],源数据[[#This Row],[日期]],源数据[账号id],源数据[[#This Row],[账号id]])</f>
        <v>1</v>
      </c>
      <c r="X219" s="15">
        <f>IFERROR(源数据[[#This Row],[点击量]]/源数据[[#This Row],[展示量]],"")</f>
        <v>0.018772856562373</v>
      </c>
      <c r="Y219" s="16">
        <f>IFERROR(源数据[[#This Row],[播放量]]/源数据[[#This Row],[展示量]],"")</f>
        <v>0.12507110930516</v>
      </c>
      <c r="Z219" s="16">
        <f>IFERROR(源数据[[#This Row],[三连投放总消耗(毫分)]]/源数据[[#This Row],[播放量]],"")</f>
        <v>0.0477430701754386</v>
      </c>
      <c r="AA21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20" s="2" customFormat="1" spans="1:27">
      <c r="A220" s="7">
        <v>46204</v>
      </c>
      <c r="B220" s="8" t="s">
        <v>534</v>
      </c>
      <c r="C220" s="8" t="s">
        <v>535</v>
      </c>
      <c r="D220" s="8" t="s">
        <v>91</v>
      </c>
      <c r="E220" s="8" t="s">
        <v>92</v>
      </c>
      <c r="F220" s="8" t="s">
        <v>115</v>
      </c>
      <c r="G220" s="9">
        <v>12783</v>
      </c>
      <c r="H220" s="9">
        <v>616</v>
      </c>
      <c r="I220" s="10">
        <v>145.31123</v>
      </c>
      <c r="J220" s="11">
        <v>145.21</v>
      </c>
      <c r="K220" s="12">
        <f t="shared" si="21"/>
        <v>0.0481890010169757</v>
      </c>
      <c r="L220" s="13">
        <f t="shared" si="22"/>
        <v>11.3675373542987</v>
      </c>
      <c r="M220" s="13">
        <f t="shared" si="23"/>
        <v>0.235894853896104</v>
      </c>
      <c r="N220" s="11">
        <v>0</v>
      </c>
      <c r="O220" s="11">
        <v>0</v>
      </c>
      <c r="P220" s="11">
        <v>165.17</v>
      </c>
      <c r="Q220" s="13">
        <f t="shared" si="24"/>
        <v>1.13666369763713</v>
      </c>
      <c r="R220" s="11">
        <v>165.17</v>
      </c>
      <c r="S220" s="13">
        <f t="shared" si="25"/>
        <v>1.13666369763713</v>
      </c>
      <c r="T220" s="9">
        <v>2938</v>
      </c>
      <c r="U220" s="13">
        <f t="shared" si="26"/>
        <v>20.2186713304952</v>
      </c>
      <c r="V220" s="12">
        <f t="shared" si="27"/>
        <v>0.229836501603692</v>
      </c>
      <c r="W220" s="17">
        <f>COUNTIFS(源数据[日期],源数据[[#This Row],[日期]],源数据[账号id],源数据[[#This Row],[账号id]])</f>
        <v>1</v>
      </c>
      <c r="X220" s="15">
        <f>IFERROR(源数据[[#This Row],[点击量]]/源数据[[#This Row],[展示量]],"")</f>
        <v>0.0481890010169757</v>
      </c>
      <c r="Y220" s="16">
        <f>IFERROR(源数据[[#This Row],[播放量]]/源数据[[#This Row],[展示量]],"")</f>
        <v>0.229836501603692</v>
      </c>
      <c r="Z220" s="16">
        <f>IFERROR(源数据[[#This Row],[三连投放总消耗(毫分)]]/源数据[[#This Row],[播放量]],"")</f>
        <v>0.0494592341729067</v>
      </c>
      <c r="AA22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21" s="2" customFormat="1" spans="1:27">
      <c r="A221" s="7">
        <v>46204</v>
      </c>
      <c r="B221" s="8" t="s">
        <v>536</v>
      </c>
      <c r="C221" s="8" t="s">
        <v>537</v>
      </c>
      <c r="D221" s="8" t="s">
        <v>91</v>
      </c>
      <c r="E221" s="8" t="s">
        <v>92</v>
      </c>
      <c r="F221" s="8" t="s">
        <v>115</v>
      </c>
      <c r="G221" s="9">
        <v>11916</v>
      </c>
      <c r="H221" s="9">
        <v>767</v>
      </c>
      <c r="I221" s="10">
        <v>143.66771</v>
      </c>
      <c r="J221" s="11">
        <v>143.57</v>
      </c>
      <c r="K221" s="12">
        <f t="shared" si="21"/>
        <v>0.0643672373279624</v>
      </c>
      <c r="L221" s="13">
        <f t="shared" si="22"/>
        <v>12.0567061094327</v>
      </c>
      <c r="M221" s="13">
        <f t="shared" si="23"/>
        <v>0.187311225554107</v>
      </c>
      <c r="N221" s="11">
        <v>0</v>
      </c>
      <c r="O221" s="11">
        <v>0</v>
      </c>
      <c r="P221" s="11">
        <v>149.5</v>
      </c>
      <c r="Q221" s="13">
        <f t="shared" si="24"/>
        <v>1.04059569126563</v>
      </c>
      <c r="R221" s="11">
        <v>149.5</v>
      </c>
      <c r="S221" s="13">
        <f t="shared" si="25"/>
        <v>1.04059569126563</v>
      </c>
      <c r="T221" s="9">
        <v>2913</v>
      </c>
      <c r="U221" s="13">
        <f t="shared" si="26"/>
        <v>20.2759548405136</v>
      </c>
      <c r="V221" s="12">
        <f t="shared" si="27"/>
        <v>0.244461228600201</v>
      </c>
      <c r="W221" s="17">
        <f>COUNTIFS(源数据[日期],源数据[[#This Row],[日期]],源数据[账号id],源数据[[#This Row],[账号id]])</f>
        <v>1</v>
      </c>
      <c r="X221" s="15">
        <f>IFERROR(源数据[[#This Row],[点击量]]/源数据[[#This Row],[展示量]],"")</f>
        <v>0.0643672373279624</v>
      </c>
      <c r="Y221" s="16">
        <f>IFERROR(源数据[[#This Row],[播放量]]/源数据[[#This Row],[展示量]],"")</f>
        <v>0.244461228600201</v>
      </c>
      <c r="Z221" s="16">
        <f>IFERROR(源数据[[#This Row],[三连投放总消耗(毫分)]]/源数据[[#This Row],[播放量]],"")</f>
        <v>0.0493195022313766</v>
      </c>
      <c r="AA22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22" s="2" customFormat="1" spans="1:27">
      <c r="A222" s="7">
        <v>46204</v>
      </c>
      <c r="B222" s="8" t="s">
        <v>538</v>
      </c>
      <c r="C222" s="8" t="s">
        <v>539</v>
      </c>
      <c r="D222" s="8" t="s">
        <v>91</v>
      </c>
      <c r="E222" s="8" t="s">
        <v>92</v>
      </c>
      <c r="F222" s="8" t="s">
        <v>115</v>
      </c>
      <c r="G222" s="9">
        <v>19312</v>
      </c>
      <c r="H222" s="9">
        <v>957</v>
      </c>
      <c r="I222" s="10">
        <v>141.41445</v>
      </c>
      <c r="J222" s="11">
        <v>141.31</v>
      </c>
      <c r="K222" s="12">
        <f t="shared" si="21"/>
        <v>0.0495546810273405</v>
      </c>
      <c r="L222" s="13">
        <f t="shared" si="22"/>
        <v>7.32262065037282</v>
      </c>
      <c r="M222" s="13">
        <f t="shared" si="23"/>
        <v>0.147768495297806</v>
      </c>
      <c r="N222" s="11">
        <v>0</v>
      </c>
      <c r="O222" s="11">
        <v>0</v>
      </c>
      <c r="P222" s="11">
        <v>142.14</v>
      </c>
      <c r="Q222" s="13">
        <f t="shared" si="24"/>
        <v>1.00513066380416</v>
      </c>
      <c r="R222" s="11">
        <v>142.14</v>
      </c>
      <c r="S222" s="13">
        <f t="shared" si="25"/>
        <v>1.00513066380416</v>
      </c>
      <c r="T222" s="9">
        <v>3860</v>
      </c>
      <c r="U222" s="13">
        <f t="shared" si="26"/>
        <v>27.2956547226963</v>
      </c>
      <c r="V222" s="12">
        <f t="shared" si="27"/>
        <v>0.199875724937862</v>
      </c>
      <c r="W222" s="17">
        <f>COUNTIFS(源数据[日期],源数据[[#This Row],[日期]],源数据[账号id],源数据[[#This Row],[账号id]])</f>
        <v>1</v>
      </c>
      <c r="X222" s="15">
        <f>IFERROR(源数据[[#This Row],[点击量]]/源数据[[#This Row],[展示量]],"")</f>
        <v>0.0495546810273405</v>
      </c>
      <c r="Y222" s="16">
        <f>IFERROR(源数据[[#This Row],[播放量]]/源数据[[#This Row],[展示量]],"")</f>
        <v>0.199875724937862</v>
      </c>
      <c r="Z222" s="16">
        <f>IFERROR(源数据[[#This Row],[三连投放总消耗(毫分)]]/源数据[[#This Row],[播放量]],"")</f>
        <v>0.0366358678756477</v>
      </c>
      <c r="AA22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23" s="2" customFormat="1" spans="1:27">
      <c r="A223" s="7">
        <v>46204</v>
      </c>
      <c r="B223" s="8" t="s">
        <v>540</v>
      </c>
      <c r="C223" s="8" t="s">
        <v>541</v>
      </c>
      <c r="D223" s="8" t="s">
        <v>91</v>
      </c>
      <c r="E223" s="8" t="s">
        <v>92</v>
      </c>
      <c r="F223" s="8" t="s">
        <v>115</v>
      </c>
      <c r="G223" s="9">
        <v>9048</v>
      </c>
      <c r="H223" s="9">
        <v>766</v>
      </c>
      <c r="I223" s="10">
        <v>140.99789</v>
      </c>
      <c r="J223" s="11">
        <v>140.9</v>
      </c>
      <c r="K223" s="12">
        <f t="shared" si="21"/>
        <v>0.0846595932802829</v>
      </c>
      <c r="L223" s="13">
        <f t="shared" si="22"/>
        <v>15.5833211759505</v>
      </c>
      <c r="M223" s="13">
        <f t="shared" si="23"/>
        <v>0.184070352480418</v>
      </c>
      <c r="N223" s="11">
        <v>0</v>
      </c>
      <c r="O223" s="11">
        <v>0</v>
      </c>
      <c r="P223" s="11">
        <v>151.75</v>
      </c>
      <c r="Q223" s="13">
        <f t="shared" si="24"/>
        <v>1.07625724044523</v>
      </c>
      <c r="R223" s="11">
        <v>151.75</v>
      </c>
      <c r="S223" s="13">
        <f t="shared" si="25"/>
        <v>1.07625724044523</v>
      </c>
      <c r="T223" s="9">
        <v>1750</v>
      </c>
      <c r="U223" s="13">
        <f t="shared" si="26"/>
        <v>12.411533250604</v>
      </c>
      <c r="V223" s="12">
        <f t="shared" si="27"/>
        <v>0.19341290893015</v>
      </c>
      <c r="W223" s="17">
        <f>COUNTIFS(源数据[日期],源数据[[#This Row],[日期]],源数据[账号id],源数据[[#This Row],[账号id]])</f>
        <v>1</v>
      </c>
      <c r="X223" s="15">
        <f>IFERROR(源数据[[#This Row],[点击量]]/源数据[[#This Row],[展示量]],"")</f>
        <v>0.0846595932802829</v>
      </c>
      <c r="Y223" s="16">
        <f>IFERROR(源数据[[#This Row],[播放量]]/源数据[[#This Row],[展示量]],"")</f>
        <v>0.19341290893015</v>
      </c>
      <c r="Z223" s="16">
        <f>IFERROR(源数据[[#This Row],[三连投放总消耗(毫分)]]/源数据[[#This Row],[播放量]],"")</f>
        <v>0.0805702228571429</v>
      </c>
      <c r="AA22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24" s="2" customFormat="1" spans="1:27">
      <c r="A224" s="7">
        <v>46204</v>
      </c>
      <c r="B224" s="8" t="s">
        <v>542</v>
      </c>
      <c r="C224" s="8" t="s">
        <v>543</v>
      </c>
      <c r="D224" s="8" t="s">
        <v>91</v>
      </c>
      <c r="E224" s="8" t="s">
        <v>92</v>
      </c>
      <c r="F224" s="8" t="s">
        <v>152</v>
      </c>
      <c r="G224" s="9">
        <v>4891</v>
      </c>
      <c r="H224" s="9">
        <v>1148</v>
      </c>
      <c r="I224" s="10">
        <v>137.42339</v>
      </c>
      <c r="J224" s="11">
        <v>137.38</v>
      </c>
      <c r="K224" s="12">
        <f t="shared" si="21"/>
        <v>0.23471682682478</v>
      </c>
      <c r="L224" s="13">
        <f t="shared" si="22"/>
        <v>28.0971968922511</v>
      </c>
      <c r="M224" s="13">
        <f t="shared" si="23"/>
        <v>0.119706785714286</v>
      </c>
      <c r="N224" s="11">
        <v>0.73</v>
      </c>
      <c r="O224" s="11">
        <v>0.73</v>
      </c>
      <c r="P224" s="11">
        <v>138.42</v>
      </c>
      <c r="Q224" s="13">
        <f t="shared" si="24"/>
        <v>1.00725211334111</v>
      </c>
      <c r="R224" s="11">
        <v>139.15</v>
      </c>
      <c r="S224" s="13">
        <f t="shared" si="25"/>
        <v>1.01256416393163</v>
      </c>
      <c r="T224" s="9">
        <v>2177</v>
      </c>
      <c r="U224" s="13">
        <f t="shared" si="26"/>
        <v>15.8415536103425</v>
      </c>
      <c r="V224" s="12">
        <f t="shared" si="27"/>
        <v>0.445103250868943</v>
      </c>
      <c r="W224" s="17">
        <f>COUNTIFS(源数据[日期],源数据[[#This Row],[日期]],源数据[账号id],源数据[[#This Row],[账号id]])</f>
        <v>1</v>
      </c>
      <c r="X224" s="15">
        <f>IFERROR(源数据[[#This Row],[点击量]]/源数据[[#This Row],[展示量]],"")</f>
        <v>0.23471682682478</v>
      </c>
      <c r="Y224" s="16">
        <f>IFERROR(源数据[[#This Row],[播放量]]/源数据[[#This Row],[展示量]],"")</f>
        <v>0.445103250868943</v>
      </c>
      <c r="Z224" s="16">
        <f>IFERROR(源数据[[#This Row],[三连投放总消耗(毫分)]]/源数据[[#This Row],[播放量]],"")</f>
        <v>0.0631251217271475</v>
      </c>
      <c r="AA22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25" s="2" customFormat="1" spans="1:27">
      <c r="A225" s="7">
        <v>46204</v>
      </c>
      <c r="B225" s="8" t="s">
        <v>544</v>
      </c>
      <c r="C225" s="8" t="s">
        <v>545</v>
      </c>
      <c r="D225" s="8" t="s">
        <v>91</v>
      </c>
      <c r="E225" s="8" t="s">
        <v>92</v>
      </c>
      <c r="F225" s="8" t="s">
        <v>93</v>
      </c>
      <c r="G225" s="9">
        <v>7625</v>
      </c>
      <c r="H225" s="9">
        <v>655</v>
      </c>
      <c r="I225" s="10">
        <v>136.61571</v>
      </c>
      <c r="J225" s="11">
        <v>136.53</v>
      </c>
      <c r="K225" s="12">
        <f t="shared" si="21"/>
        <v>0.0859016393442623</v>
      </c>
      <c r="L225" s="13">
        <f t="shared" si="22"/>
        <v>17.9168144262295</v>
      </c>
      <c r="M225" s="13">
        <f t="shared" si="23"/>
        <v>0.208573603053435</v>
      </c>
      <c r="N225" s="11">
        <v>0</v>
      </c>
      <c r="O225" s="11">
        <v>0</v>
      </c>
      <c r="P225" s="11">
        <v>142.77</v>
      </c>
      <c r="Q225" s="13">
        <f t="shared" si="24"/>
        <v>1.0450481866251</v>
      </c>
      <c r="R225" s="11">
        <v>142.77</v>
      </c>
      <c r="S225" s="13">
        <f t="shared" si="25"/>
        <v>1.0450481866251</v>
      </c>
      <c r="T225" s="9">
        <v>1643</v>
      </c>
      <c r="U225" s="13">
        <f t="shared" si="26"/>
        <v>12.0264353199204</v>
      </c>
      <c r="V225" s="12">
        <f t="shared" si="27"/>
        <v>0.215475409836066</v>
      </c>
      <c r="W225" s="17">
        <f>COUNTIFS(源数据[日期],源数据[[#This Row],[日期]],源数据[账号id],源数据[[#This Row],[账号id]])</f>
        <v>1</v>
      </c>
      <c r="X225" s="15">
        <f>IFERROR(源数据[[#This Row],[点击量]]/源数据[[#This Row],[展示量]],"")</f>
        <v>0.0859016393442623</v>
      </c>
      <c r="Y225" s="16">
        <f>IFERROR(源数据[[#This Row],[播放量]]/源数据[[#This Row],[展示量]],"")</f>
        <v>0.215475409836066</v>
      </c>
      <c r="Z225" s="16">
        <f>IFERROR(源数据[[#This Row],[三连投放总消耗(毫分)]]/源数据[[#This Row],[播放量]],"")</f>
        <v>0.0831501582471089</v>
      </c>
      <c r="AA22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26" s="2" customFormat="1" spans="1:27">
      <c r="A226" s="7">
        <v>46204</v>
      </c>
      <c r="B226" s="8" t="s">
        <v>546</v>
      </c>
      <c r="C226" s="8" t="s">
        <v>547</v>
      </c>
      <c r="D226" s="8" t="s">
        <v>91</v>
      </c>
      <c r="E226" s="8" t="s">
        <v>92</v>
      </c>
      <c r="F226" s="8" t="s">
        <v>93</v>
      </c>
      <c r="G226" s="9">
        <v>7177</v>
      </c>
      <c r="H226" s="9">
        <v>730</v>
      </c>
      <c r="I226" s="10">
        <v>130.33594</v>
      </c>
      <c r="J226" s="11">
        <v>130.24</v>
      </c>
      <c r="K226" s="12">
        <f t="shared" si="21"/>
        <v>0.101713807997771</v>
      </c>
      <c r="L226" s="13">
        <f t="shared" si="22"/>
        <v>18.1602257210534</v>
      </c>
      <c r="M226" s="13">
        <f t="shared" si="23"/>
        <v>0.178542383561644</v>
      </c>
      <c r="N226" s="11">
        <v>0</v>
      </c>
      <c r="O226" s="11">
        <v>0</v>
      </c>
      <c r="P226" s="11">
        <v>135.64</v>
      </c>
      <c r="Q226" s="13">
        <f t="shared" si="24"/>
        <v>1.040695298626</v>
      </c>
      <c r="R226" s="11">
        <v>135.64</v>
      </c>
      <c r="S226" s="13">
        <f t="shared" si="25"/>
        <v>1.040695298626</v>
      </c>
      <c r="T226" s="9">
        <v>1364</v>
      </c>
      <c r="U226" s="13">
        <f t="shared" si="26"/>
        <v>10.4652638405032</v>
      </c>
      <c r="V226" s="12">
        <f t="shared" si="27"/>
        <v>0.190051553573917</v>
      </c>
      <c r="W226" s="17">
        <f>COUNTIFS(源数据[日期],源数据[[#This Row],[日期]],源数据[账号id],源数据[[#This Row],[账号id]])</f>
        <v>1</v>
      </c>
      <c r="X226" s="15">
        <f>IFERROR(源数据[[#This Row],[点击量]]/源数据[[#This Row],[展示量]],"")</f>
        <v>0.101713807997771</v>
      </c>
      <c r="Y226" s="16">
        <f>IFERROR(源数据[[#This Row],[播放量]]/源数据[[#This Row],[展示量]],"")</f>
        <v>0.190051553573917</v>
      </c>
      <c r="Z226" s="16">
        <f>IFERROR(源数据[[#This Row],[三连投放总消耗(毫分)]]/源数据[[#This Row],[播放量]],"")</f>
        <v>0.0955542082111437</v>
      </c>
      <c r="AA22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27" s="2" customFormat="1" spans="1:27">
      <c r="A227" s="7">
        <v>46204</v>
      </c>
      <c r="B227" s="8" t="s">
        <v>548</v>
      </c>
      <c r="C227" s="8" t="s">
        <v>549</v>
      </c>
      <c r="D227" s="8" t="s">
        <v>91</v>
      </c>
      <c r="E227" s="8" t="s">
        <v>92</v>
      </c>
      <c r="F227" s="8" t="s">
        <v>93</v>
      </c>
      <c r="G227" s="9">
        <v>10730</v>
      </c>
      <c r="H227" s="9">
        <v>460</v>
      </c>
      <c r="I227" s="10">
        <v>127.17474</v>
      </c>
      <c r="J227" s="11">
        <v>127.08</v>
      </c>
      <c r="K227" s="12">
        <f t="shared" si="21"/>
        <v>0.0428704566635601</v>
      </c>
      <c r="L227" s="13">
        <f t="shared" si="22"/>
        <v>11.8522590866729</v>
      </c>
      <c r="M227" s="13">
        <f t="shared" si="23"/>
        <v>0.276466826086956</v>
      </c>
      <c r="N227" s="11">
        <v>0</v>
      </c>
      <c r="O227" s="11">
        <v>0</v>
      </c>
      <c r="P227" s="11">
        <v>134.59</v>
      </c>
      <c r="Q227" s="13">
        <f t="shared" si="24"/>
        <v>1.05830764820121</v>
      </c>
      <c r="R227" s="11">
        <v>134.59</v>
      </c>
      <c r="S227" s="13">
        <f t="shared" si="25"/>
        <v>1.05830764820121</v>
      </c>
      <c r="T227" s="9">
        <v>3258</v>
      </c>
      <c r="U227" s="13">
        <f t="shared" si="26"/>
        <v>25.6182949538564</v>
      </c>
      <c r="V227" s="12">
        <f t="shared" si="27"/>
        <v>0.303634669151911</v>
      </c>
      <c r="W227" s="17">
        <f>COUNTIFS(源数据[日期],源数据[[#This Row],[日期]],源数据[账号id],源数据[[#This Row],[账号id]])</f>
        <v>1</v>
      </c>
      <c r="X227" s="15">
        <f>IFERROR(源数据[[#This Row],[点击量]]/源数据[[#This Row],[展示量]],"")</f>
        <v>0.0428704566635601</v>
      </c>
      <c r="Y227" s="16">
        <f>IFERROR(源数据[[#This Row],[播放量]]/源数据[[#This Row],[展示量]],"")</f>
        <v>0.303634669151911</v>
      </c>
      <c r="Z227" s="16">
        <f>IFERROR(源数据[[#This Row],[三连投放总消耗(毫分)]]/源数据[[#This Row],[播放量]],"")</f>
        <v>0.0390346040515654</v>
      </c>
      <c r="AA22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28" s="2" customFormat="1" spans="1:27">
      <c r="A228" s="7">
        <v>46204</v>
      </c>
      <c r="B228" s="8" t="s">
        <v>550</v>
      </c>
      <c r="C228" s="8" t="s">
        <v>551</v>
      </c>
      <c r="D228" s="8" t="s">
        <v>91</v>
      </c>
      <c r="E228" s="8" t="s">
        <v>92</v>
      </c>
      <c r="F228" s="8" t="s">
        <v>115</v>
      </c>
      <c r="G228" s="9">
        <v>8215</v>
      </c>
      <c r="H228" s="9">
        <v>769</v>
      </c>
      <c r="I228" s="10">
        <v>126.98178</v>
      </c>
      <c r="J228" s="11">
        <v>126.89</v>
      </c>
      <c r="K228" s="12">
        <f t="shared" si="21"/>
        <v>0.0936092513694461</v>
      </c>
      <c r="L228" s="13">
        <f t="shared" si="22"/>
        <v>15.457307364577</v>
      </c>
      <c r="M228" s="13">
        <f t="shared" si="23"/>
        <v>0.165125851755527</v>
      </c>
      <c r="N228" s="11">
        <v>0</v>
      </c>
      <c r="O228" s="11">
        <v>0</v>
      </c>
      <c r="P228" s="11">
        <v>125.85</v>
      </c>
      <c r="Q228" s="13">
        <f t="shared" si="24"/>
        <v>0.99108706776673</v>
      </c>
      <c r="R228" s="11">
        <v>125.85</v>
      </c>
      <c r="S228" s="13">
        <f t="shared" si="25"/>
        <v>0.99108706776673</v>
      </c>
      <c r="T228" s="9">
        <v>1750</v>
      </c>
      <c r="U228" s="13">
        <f t="shared" si="26"/>
        <v>13.7815047166609</v>
      </c>
      <c r="V228" s="12">
        <f t="shared" si="27"/>
        <v>0.213024954351795</v>
      </c>
      <c r="W228" s="17">
        <f>COUNTIFS(源数据[日期],源数据[[#This Row],[日期]],源数据[账号id],源数据[[#This Row],[账号id]])</f>
        <v>1</v>
      </c>
      <c r="X228" s="15">
        <f>IFERROR(源数据[[#This Row],[点击量]]/源数据[[#This Row],[展示量]],"")</f>
        <v>0.0936092513694461</v>
      </c>
      <c r="Y228" s="16">
        <f>IFERROR(源数据[[#This Row],[播放量]]/源数据[[#This Row],[展示量]],"")</f>
        <v>0.213024954351795</v>
      </c>
      <c r="Z228" s="16">
        <f>IFERROR(源数据[[#This Row],[三连投放总消耗(毫分)]]/源数据[[#This Row],[播放量]],"")</f>
        <v>0.0725610171428571</v>
      </c>
      <c r="AA22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29" s="2" customFormat="1" spans="1:27">
      <c r="A229" s="7">
        <v>46204</v>
      </c>
      <c r="B229" s="8" t="s">
        <v>552</v>
      </c>
      <c r="C229" s="8" t="s">
        <v>553</v>
      </c>
      <c r="D229" s="8" t="s">
        <v>91</v>
      </c>
      <c r="E229" s="8" t="s">
        <v>92</v>
      </c>
      <c r="F229" s="8" t="s">
        <v>115</v>
      </c>
      <c r="G229" s="9">
        <v>37656</v>
      </c>
      <c r="H229" s="9">
        <v>531</v>
      </c>
      <c r="I229" s="10">
        <v>126.97538</v>
      </c>
      <c r="J229" s="11">
        <v>126.89</v>
      </c>
      <c r="K229" s="12">
        <f t="shared" si="21"/>
        <v>0.0141013384321224</v>
      </c>
      <c r="L229" s="13">
        <f t="shared" si="22"/>
        <v>3.37198268536223</v>
      </c>
      <c r="M229" s="13">
        <f t="shared" si="23"/>
        <v>0.239125009416196</v>
      </c>
      <c r="N229" s="11">
        <v>0</v>
      </c>
      <c r="O229" s="11">
        <v>0</v>
      </c>
      <c r="P229" s="11">
        <v>128.38</v>
      </c>
      <c r="Q229" s="13">
        <f t="shared" si="24"/>
        <v>1.01106214448817</v>
      </c>
      <c r="R229" s="11">
        <v>128.38</v>
      </c>
      <c r="S229" s="13">
        <f t="shared" si="25"/>
        <v>1.01106214448817</v>
      </c>
      <c r="T229" s="9">
        <v>2524</v>
      </c>
      <c r="U229" s="13">
        <f t="shared" si="26"/>
        <v>19.8778692373277</v>
      </c>
      <c r="V229" s="12">
        <f t="shared" si="27"/>
        <v>0.0670278308901636</v>
      </c>
      <c r="W229" s="17">
        <f>COUNTIFS(源数据[日期],源数据[[#This Row],[日期]],源数据[账号id],源数据[[#This Row],[账号id]])</f>
        <v>1</v>
      </c>
      <c r="X229" s="15">
        <f>IFERROR(源数据[[#This Row],[点击量]]/源数据[[#This Row],[展示量]],"")</f>
        <v>0.0141013384321224</v>
      </c>
      <c r="Y229" s="16">
        <f>IFERROR(源数据[[#This Row],[播放量]]/源数据[[#This Row],[展示量]],"")</f>
        <v>0.0670278308901636</v>
      </c>
      <c r="Z229" s="16">
        <f>IFERROR(源数据[[#This Row],[三连投放总消耗(毫分)]]/源数据[[#This Row],[播放量]],"")</f>
        <v>0.0503072028526149</v>
      </c>
      <c r="AA22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30" s="2" customFormat="1" spans="1:27">
      <c r="A230" s="7">
        <v>46204</v>
      </c>
      <c r="B230" s="8" t="s">
        <v>554</v>
      </c>
      <c r="C230" s="8" t="s">
        <v>555</v>
      </c>
      <c r="D230" s="8" t="s">
        <v>91</v>
      </c>
      <c r="E230" s="8" t="s">
        <v>92</v>
      </c>
      <c r="F230" s="8" t="s">
        <v>96</v>
      </c>
      <c r="G230" s="9">
        <v>8174</v>
      </c>
      <c r="H230" s="9">
        <v>227</v>
      </c>
      <c r="I230" s="10">
        <v>125.9557</v>
      </c>
      <c r="J230" s="11">
        <v>125.88</v>
      </c>
      <c r="K230" s="12">
        <f t="shared" si="21"/>
        <v>0.0277709811597749</v>
      </c>
      <c r="L230" s="13">
        <f t="shared" si="22"/>
        <v>15.4093100073403</v>
      </c>
      <c r="M230" s="13">
        <f t="shared" si="23"/>
        <v>0.554870925110132</v>
      </c>
      <c r="N230" s="11">
        <v>0</v>
      </c>
      <c r="O230" s="11">
        <v>0</v>
      </c>
      <c r="P230" s="11">
        <v>128.81</v>
      </c>
      <c r="Q230" s="13">
        <f t="shared" si="24"/>
        <v>1.02266114197293</v>
      </c>
      <c r="R230" s="11">
        <v>128.81</v>
      </c>
      <c r="S230" s="13">
        <f t="shared" si="25"/>
        <v>1.02266114197293</v>
      </c>
      <c r="T230" s="9">
        <v>1689</v>
      </c>
      <c r="U230" s="13">
        <f t="shared" si="26"/>
        <v>13.4094765064225</v>
      </c>
      <c r="V230" s="12">
        <f t="shared" si="27"/>
        <v>0.206630780523611</v>
      </c>
      <c r="W230" s="17">
        <f>COUNTIFS(源数据[日期],源数据[[#This Row],[日期]],源数据[账号id],源数据[[#This Row],[账号id]])</f>
        <v>1</v>
      </c>
      <c r="X230" s="15">
        <f>IFERROR(源数据[[#This Row],[点击量]]/源数据[[#This Row],[展示量]],"")</f>
        <v>0.0277709811597749</v>
      </c>
      <c r="Y230" s="16">
        <f>IFERROR(源数据[[#This Row],[播放量]]/源数据[[#This Row],[展示量]],"")</f>
        <v>0.206630780523611</v>
      </c>
      <c r="Z230" s="16">
        <f>IFERROR(源数据[[#This Row],[三连投放总消耗(毫分)]]/源数据[[#This Row],[播放量]],"")</f>
        <v>0.0745741267021906</v>
      </c>
      <c r="AA23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31" s="2" customFormat="1" spans="1:27">
      <c r="A231" s="7">
        <v>46204</v>
      </c>
      <c r="B231" s="8" t="s">
        <v>556</v>
      </c>
      <c r="C231" s="8" t="s">
        <v>557</v>
      </c>
      <c r="D231" s="8" t="s">
        <v>91</v>
      </c>
      <c r="E231" s="8" t="s">
        <v>92</v>
      </c>
      <c r="F231" s="8" t="s">
        <v>115</v>
      </c>
      <c r="G231" s="9">
        <v>15852</v>
      </c>
      <c r="H231" s="9">
        <v>329</v>
      </c>
      <c r="I231" s="10">
        <v>124.47311</v>
      </c>
      <c r="J231" s="11">
        <v>124.37</v>
      </c>
      <c r="K231" s="12">
        <f t="shared" si="21"/>
        <v>0.0207544789301035</v>
      </c>
      <c r="L231" s="13">
        <f t="shared" si="22"/>
        <v>7.8522022457734</v>
      </c>
      <c r="M231" s="13">
        <f t="shared" si="23"/>
        <v>0.378337720364742</v>
      </c>
      <c r="N231" s="11">
        <v>0</v>
      </c>
      <c r="O231" s="11">
        <v>0</v>
      </c>
      <c r="P231" s="11">
        <v>127.04</v>
      </c>
      <c r="Q231" s="13">
        <f t="shared" si="24"/>
        <v>1.02062204439176</v>
      </c>
      <c r="R231" s="11">
        <v>127.04</v>
      </c>
      <c r="S231" s="13">
        <f t="shared" si="25"/>
        <v>1.02062204439176</v>
      </c>
      <c r="T231" s="9">
        <v>2786</v>
      </c>
      <c r="U231" s="13">
        <f t="shared" si="26"/>
        <v>22.3823442669666</v>
      </c>
      <c r="V231" s="12">
        <f t="shared" si="27"/>
        <v>0.175750693918748</v>
      </c>
      <c r="W231" s="17">
        <f>COUNTIFS(源数据[日期],源数据[[#This Row],[日期]],源数据[账号id],源数据[[#This Row],[账号id]])</f>
        <v>1</v>
      </c>
      <c r="X231" s="15">
        <f>IFERROR(源数据[[#This Row],[点击量]]/源数据[[#This Row],[展示量]],"")</f>
        <v>0.0207544789301035</v>
      </c>
      <c r="Y231" s="16">
        <f>IFERROR(源数据[[#This Row],[播放量]]/源数据[[#This Row],[展示量]],"")</f>
        <v>0.175750693918748</v>
      </c>
      <c r="Z231" s="16">
        <f>IFERROR(源数据[[#This Row],[三连投放总消耗(毫分)]]/源数据[[#This Row],[播放量]],"")</f>
        <v>0.0446780725053841</v>
      </c>
      <c r="AA23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32" s="2" customFormat="1" spans="1:27">
      <c r="A232" s="7">
        <v>46204</v>
      </c>
      <c r="B232" s="8" t="s">
        <v>558</v>
      </c>
      <c r="C232" s="8" t="s">
        <v>559</v>
      </c>
      <c r="D232" s="8" t="s">
        <v>91</v>
      </c>
      <c r="E232" s="8" t="s">
        <v>92</v>
      </c>
      <c r="F232" s="8" t="s">
        <v>93</v>
      </c>
      <c r="G232" s="9">
        <v>12500</v>
      </c>
      <c r="H232" s="9">
        <v>413</v>
      </c>
      <c r="I232" s="10">
        <v>124.0656</v>
      </c>
      <c r="J232" s="11">
        <v>124.01</v>
      </c>
      <c r="K232" s="12">
        <f t="shared" si="21"/>
        <v>0.03304</v>
      </c>
      <c r="L232" s="13">
        <f t="shared" si="22"/>
        <v>9.925248</v>
      </c>
      <c r="M232" s="13">
        <f t="shared" si="23"/>
        <v>0.300400968523002</v>
      </c>
      <c r="N232" s="11">
        <v>0</v>
      </c>
      <c r="O232" s="11">
        <v>0</v>
      </c>
      <c r="P232" s="11">
        <v>139.81</v>
      </c>
      <c r="Q232" s="13">
        <f t="shared" si="24"/>
        <v>1.12690383152139</v>
      </c>
      <c r="R232" s="11">
        <v>139.81</v>
      </c>
      <c r="S232" s="13">
        <f t="shared" si="25"/>
        <v>1.12690383152139</v>
      </c>
      <c r="T232" s="9">
        <v>2706</v>
      </c>
      <c r="U232" s="13">
        <f t="shared" si="26"/>
        <v>21.811041900414</v>
      </c>
      <c r="V232" s="12">
        <f t="shared" si="27"/>
        <v>0.21648</v>
      </c>
      <c r="W232" s="17">
        <f>COUNTIFS(源数据[日期],源数据[[#This Row],[日期]],源数据[账号id],源数据[[#This Row],[账号id]])</f>
        <v>1</v>
      </c>
      <c r="X232" s="15">
        <f>IFERROR(源数据[[#This Row],[点击量]]/源数据[[#This Row],[展示量]],"")</f>
        <v>0.03304</v>
      </c>
      <c r="Y232" s="16">
        <f>IFERROR(源数据[[#This Row],[播放量]]/源数据[[#This Row],[展示量]],"")</f>
        <v>0.21648</v>
      </c>
      <c r="Z232" s="16">
        <f>IFERROR(源数据[[#This Row],[三连投放总消耗(毫分)]]/源数据[[#This Row],[播放量]],"")</f>
        <v>0.0458483370288248</v>
      </c>
      <c r="AA23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33" s="2" customFormat="1" spans="1:27">
      <c r="A233" s="7">
        <v>46204</v>
      </c>
      <c r="B233" s="8" t="s">
        <v>560</v>
      </c>
      <c r="C233" s="8" t="s">
        <v>561</v>
      </c>
      <c r="D233" s="8" t="s">
        <v>91</v>
      </c>
      <c r="E233" s="8" t="s">
        <v>92</v>
      </c>
      <c r="F233" s="8" t="s">
        <v>152</v>
      </c>
      <c r="G233" s="9">
        <v>2266</v>
      </c>
      <c r="H233" s="9">
        <v>1970</v>
      </c>
      <c r="I233" s="10">
        <v>123.95474</v>
      </c>
      <c r="J233" s="11">
        <v>123.94</v>
      </c>
      <c r="K233" s="12">
        <f t="shared" si="21"/>
        <v>0.8693733451015</v>
      </c>
      <c r="L233" s="13">
        <f t="shared" si="22"/>
        <v>54.7020035304501</v>
      </c>
      <c r="M233" s="13">
        <f t="shared" si="23"/>
        <v>0.0629211878172589</v>
      </c>
      <c r="N233" s="11">
        <v>0</v>
      </c>
      <c r="O233" s="11">
        <v>0</v>
      </c>
      <c r="P233" s="11">
        <v>91.23</v>
      </c>
      <c r="Q233" s="13">
        <f t="shared" si="24"/>
        <v>0.735994444423828</v>
      </c>
      <c r="R233" s="11">
        <v>91.23</v>
      </c>
      <c r="S233" s="13">
        <f t="shared" si="25"/>
        <v>0.735994444423828</v>
      </c>
      <c r="T233" s="9">
        <v>855</v>
      </c>
      <c r="U233" s="13">
        <f t="shared" si="26"/>
        <v>6.89767894313683</v>
      </c>
      <c r="V233" s="12">
        <f t="shared" si="27"/>
        <v>0.377316857899382</v>
      </c>
      <c r="W233" s="17">
        <f>COUNTIFS(源数据[日期],源数据[[#This Row],[日期]],源数据[账号id],源数据[[#This Row],[账号id]])</f>
        <v>1</v>
      </c>
      <c r="X233" s="15">
        <f>IFERROR(源数据[[#This Row],[点击量]]/源数据[[#This Row],[展示量]],"")</f>
        <v>0.8693733451015</v>
      </c>
      <c r="Y233" s="16">
        <f>IFERROR(源数据[[#This Row],[播放量]]/源数据[[#This Row],[展示量]],"")</f>
        <v>0.377316857899382</v>
      </c>
      <c r="Z233" s="16">
        <f>IFERROR(源数据[[#This Row],[三连投放总消耗(毫分)]]/源数据[[#This Row],[播放量]],"")</f>
        <v>0.144976304093567</v>
      </c>
      <c r="AA23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34" s="2" customFormat="1" spans="1:27">
      <c r="A234" s="7">
        <v>46204</v>
      </c>
      <c r="B234" s="8" t="s">
        <v>562</v>
      </c>
      <c r="C234" s="8" t="s">
        <v>563</v>
      </c>
      <c r="D234" s="8" t="s">
        <v>91</v>
      </c>
      <c r="E234" s="8" t="s">
        <v>92</v>
      </c>
      <c r="F234" s="8" t="s">
        <v>101</v>
      </c>
      <c r="G234" s="9">
        <v>10073</v>
      </c>
      <c r="H234" s="9">
        <v>197</v>
      </c>
      <c r="I234" s="10">
        <v>123.06044</v>
      </c>
      <c r="J234" s="11">
        <v>122.95</v>
      </c>
      <c r="K234" s="12">
        <f t="shared" si="21"/>
        <v>0.0195572322049042</v>
      </c>
      <c r="L234" s="13">
        <f t="shared" si="22"/>
        <v>12.2168609153182</v>
      </c>
      <c r="M234" s="13">
        <f t="shared" si="23"/>
        <v>0.624672284263959</v>
      </c>
      <c r="N234" s="11">
        <v>0</v>
      </c>
      <c r="O234" s="11">
        <v>0</v>
      </c>
      <c r="P234" s="11">
        <v>109.16</v>
      </c>
      <c r="Q234" s="13">
        <f t="shared" si="24"/>
        <v>0.887043797340559</v>
      </c>
      <c r="R234" s="11">
        <v>109.16</v>
      </c>
      <c r="S234" s="13">
        <f t="shared" si="25"/>
        <v>0.887043797340559</v>
      </c>
      <c r="T234" s="9">
        <v>2520</v>
      </c>
      <c r="U234" s="13">
        <f t="shared" si="26"/>
        <v>20.4777424816619</v>
      </c>
      <c r="V234" s="12">
        <f t="shared" si="27"/>
        <v>0.250173731758165</v>
      </c>
      <c r="W234" s="17">
        <f>COUNTIFS(源数据[日期],源数据[[#This Row],[日期]],源数据[账号id],源数据[[#This Row],[账号id]])</f>
        <v>1</v>
      </c>
      <c r="X234" s="15">
        <f>IFERROR(源数据[[#This Row],[点击量]]/源数据[[#This Row],[展示量]],"")</f>
        <v>0.0195572322049042</v>
      </c>
      <c r="Y234" s="16">
        <f>IFERROR(源数据[[#This Row],[播放量]]/源数据[[#This Row],[展示量]],"")</f>
        <v>0.250173731758165</v>
      </c>
      <c r="Z234" s="16">
        <f>IFERROR(源数据[[#This Row],[三连投放总消耗(毫分)]]/源数据[[#This Row],[播放量]],"")</f>
        <v>0.0488335079365079</v>
      </c>
      <c r="AA23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35" s="2" customFormat="1" spans="1:27">
      <c r="A235" s="7">
        <v>46204</v>
      </c>
      <c r="B235" s="8" t="s">
        <v>564</v>
      </c>
      <c r="C235" s="8" t="s">
        <v>565</v>
      </c>
      <c r="D235" s="8" t="s">
        <v>91</v>
      </c>
      <c r="E235" s="8" t="s">
        <v>92</v>
      </c>
      <c r="F235" s="8" t="s">
        <v>101</v>
      </c>
      <c r="G235" s="9">
        <v>17542</v>
      </c>
      <c r="H235" s="9">
        <v>239</v>
      </c>
      <c r="I235" s="10">
        <v>122.01149</v>
      </c>
      <c r="J235" s="11">
        <v>121.92</v>
      </c>
      <c r="K235" s="12">
        <f t="shared" si="21"/>
        <v>0.0136244441910843</v>
      </c>
      <c r="L235" s="13">
        <f t="shared" si="22"/>
        <v>6.95539220157337</v>
      </c>
      <c r="M235" s="13">
        <f t="shared" si="23"/>
        <v>0.510508326359833</v>
      </c>
      <c r="N235" s="11">
        <v>0</v>
      </c>
      <c r="O235" s="11">
        <v>0</v>
      </c>
      <c r="P235" s="11">
        <v>149.17</v>
      </c>
      <c r="Q235" s="13">
        <f t="shared" si="24"/>
        <v>1.22258977412701</v>
      </c>
      <c r="R235" s="11">
        <v>149.17</v>
      </c>
      <c r="S235" s="13">
        <f t="shared" si="25"/>
        <v>1.22258977412701</v>
      </c>
      <c r="T235" s="9">
        <v>3713</v>
      </c>
      <c r="U235" s="13">
        <f t="shared" si="26"/>
        <v>30.4315601751933</v>
      </c>
      <c r="V235" s="12">
        <f t="shared" si="27"/>
        <v>0.21166343632425</v>
      </c>
      <c r="W235" s="17">
        <f>COUNTIFS(源数据[日期],源数据[[#This Row],[日期]],源数据[账号id],源数据[[#This Row],[账号id]])</f>
        <v>1</v>
      </c>
      <c r="X235" s="15">
        <f>IFERROR(源数据[[#This Row],[点击量]]/源数据[[#This Row],[展示量]],"")</f>
        <v>0.0136244441910843</v>
      </c>
      <c r="Y235" s="16">
        <f>IFERROR(源数据[[#This Row],[播放量]]/源数据[[#This Row],[展示量]],"")</f>
        <v>0.21166343632425</v>
      </c>
      <c r="Z235" s="16">
        <f>IFERROR(源数据[[#This Row],[三连投放总消耗(毫分)]]/源数据[[#This Row],[播放量]],"")</f>
        <v>0.0328606221384325</v>
      </c>
      <c r="AA23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36" s="2" customFormat="1" spans="1:27">
      <c r="A236" s="7">
        <v>46204</v>
      </c>
      <c r="B236" s="8" t="s">
        <v>566</v>
      </c>
      <c r="C236" s="8" t="s">
        <v>567</v>
      </c>
      <c r="D236" s="8" t="s">
        <v>91</v>
      </c>
      <c r="E236" s="8" t="s">
        <v>92</v>
      </c>
      <c r="F236" s="8" t="s">
        <v>115</v>
      </c>
      <c r="G236" s="9">
        <v>12597</v>
      </c>
      <c r="H236" s="9">
        <v>528</v>
      </c>
      <c r="I236" s="10">
        <v>121.71102</v>
      </c>
      <c r="J236" s="11">
        <v>121.6</v>
      </c>
      <c r="K236" s="12">
        <f t="shared" si="21"/>
        <v>0.0419147416051441</v>
      </c>
      <c r="L236" s="13">
        <f t="shared" si="22"/>
        <v>9.66190521552751</v>
      </c>
      <c r="M236" s="13">
        <f t="shared" si="23"/>
        <v>0.230513295454545</v>
      </c>
      <c r="N236" s="11">
        <v>0</v>
      </c>
      <c r="O236" s="11">
        <v>0</v>
      </c>
      <c r="P236" s="11">
        <v>126.4</v>
      </c>
      <c r="Q236" s="13">
        <f t="shared" si="24"/>
        <v>1.03852551724569</v>
      </c>
      <c r="R236" s="11">
        <v>126.4</v>
      </c>
      <c r="S236" s="13">
        <f t="shared" si="25"/>
        <v>1.03852551724569</v>
      </c>
      <c r="T236" s="9">
        <v>3808</v>
      </c>
      <c r="U236" s="13">
        <f t="shared" si="26"/>
        <v>31.2872244436042</v>
      </c>
      <c r="V236" s="12">
        <f t="shared" si="27"/>
        <v>0.302294197031039</v>
      </c>
      <c r="W236" s="17">
        <f>COUNTIFS(源数据[日期],源数据[[#This Row],[日期]],源数据[账号id],源数据[[#This Row],[账号id]])</f>
        <v>1</v>
      </c>
      <c r="X236" s="15">
        <f>IFERROR(源数据[[#This Row],[点击量]]/源数据[[#This Row],[展示量]],"")</f>
        <v>0.0419147416051441</v>
      </c>
      <c r="Y236" s="16">
        <f>IFERROR(源数据[[#This Row],[播放量]]/源数据[[#This Row],[展示量]],"")</f>
        <v>0.302294197031039</v>
      </c>
      <c r="Z236" s="16">
        <f>IFERROR(源数据[[#This Row],[三连投放总消耗(毫分)]]/源数据[[#This Row],[播放量]],"")</f>
        <v>0.0319619275210084</v>
      </c>
      <c r="AA23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37" s="2" customFormat="1" spans="1:27">
      <c r="A237" s="7">
        <v>46204</v>
      </c>
      <c r="B237" s="8" t="s">
        <v>568</v>
      </c>
      <c r="C237" s="8" t="s">
        <v>569</v>
      </c>
      <c r="D237" s="8" t="s">
        <v>91</v>
      </c>
      <c r="E237" s="8" t="s">
        <v>92</v>
      </c>
      <c r="F237" s="8" t="s">
        <v>115</v>
      </c>
      <c r="G237" s="9">
        <v>16670</v>
      </c>
      <c r="H237" s="9">
        <v>563</v>
      </c>
      <c r="I237" s="10">
        <v>121.29872</v>
      </c>
      <c r="J237" s="11">
        <v>121.21</v>
      </c>
      <c r="K237" s="12">
        <f t="shared" si="21"/>
        <v>0.0337732453509298</v>
      </c>
      <c r="L237" s="13">
        <f t="shared" si="22"/>
        <v>7.27646790641872</v>
      </c>
      <c r="M237" s="13">
        <f t="shared" si="23"/>
        <v>0.215450657193606</v>
      </c>
      <c r="N237" s="11">
        <v>0</v>
      </c>
      <c r="O237" s="11">
        <v>0</v>
      </c>
      <c r="P237" s="11">
        <v>115.26</v>
      </c>
      <c r="Q237" s="13">
        <f t="shared" si="24"/>
        <v>0.950216127589805</v>
      </c>
      <c r="R237" s="11">
        <v>115.26</v>
      </c>
      <c r="S237" s="13">
        <f t="shared" si="25"/>
        <v>0.950216127589805</v>
      </c>
      <c r="T237" s="9">
        <v>3187</v>
      </c>
      <c r="U237" s="13">
        <f t="shared" si="26"/>
        <v>26.2739788185729</v>
      </c>
      <c r="V237" s="12">
        <f t="shared" si="27"/>
        <v>0.191181763647271</v>
      </c>
      <c r="W237" s="17">
        <f>COUNTIFS(源数据[日期],源数据[[#This Row],[日期]],源数据[账号id],源数据[[#This Row],[账号id]])</f>
        <v>1</v>
      </c>
      <c r="X237" s="15">
        <f>IFERROR(源数据[[#This Row],[点击量]]/源数据[[#This Row],[展示量]],"")</f>
        <v>0.0337732453509298</v>
      </c>
      <c r="Y237" s="16">
        <f>IFERROR(源数据[[#This Row],[播放量]]/源数据[[#This Row],[展示量]],"")</f>
        <v>0.191181763647271</v>
      </c>
      <c r="Z237" s="16">
        <f>IFERROR(源数据[[#This Row],[三连投放总消耗(毫分)]]/源数据[[#This Row],[播放量]],"")</f>
        <v>0.0380604706620646</v>
      </c>
      <c r="AA23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38" s="2" customFormat="1" spans="1:27">
      <c r="A238" s="7">
        <v>46204</v>
      </c>
      <c r="B238" s="8" t="s">
        <v>570</v>
      </c>
      <c r="C238" s="8" t="s">
        <v>571</v>
      </c>
      <c r="D238" s="8" t="s">
        <v>91</v>
      </c>
      <c r="E238" s="8" t="s">
        <v>92</v>
      </c>
      <c r="F238" s="8" t="s">
        <v>110</v>
      </c>
      <c r="G238" s="9">
        <v>17920</v>
      </c>
      <c r="H238" s="9">
        <v>730</v>
      </c>
      <c r="I238" s="10">
        <v>121.12262</v>
      </c>
      <c r="J238" s="11">
        <v>121.08</v>
      </c>
      <c r="K238" s="12">
        <f t="shared" si="21"/>
        <v>0.0407366071428571</v>
      </c>
      <c r="L238" s="13">
        <f t="shared" si="22"/>
        <v>6.75907477678571</v>
      </c>
      <c r="M238" s="13">
        <f t="shared" si="23"/>
        <v>0.165921397260274</v>
      </c>
      <c r="N238" s="11">
        <v>13.17</v>
      </c>
      <c r="O238" s="11">
        <v>13.17</v>
      </c>
      <c r="P238" s="11">
        <v>94.92</v>
      </c>
      <c r="Q238" s="13">
        <f t="shared" si="24"/>
        <v>0.783668649175521</v>
      </c>
      <c r="R238" s="11">
        <v>108.09</v>
      </c>
      <c r="S238" s="13">
        <f t="shared" si="25"/>
        <v>0.892401435834199</v>
      </c>
      <c r="T238" s="9">
        <v>2387</v>
      </c>
      <c r="U238" s="13">
        <f t="shared" si="26"/>
        <v>19.7073015758741</v>
      </c>
      <c r="V238" s="12">
        <f t="shared" si="27"/>
        <v>0.133203125</v>
      </c>
      <c r="W238" s="17">
        <f>COUNTIFS(源数据[日期],源数据[[#This Row],[日期]],源数据[账号id],源数据[[#This Row],[账号id]])</f>
        <v>1</v>
      </c>
      <c r="X238" s="15">
        <f>IFERROR(源数据[[#This Row],[点击量]]/源数据[[#This Row],[展示量]],"")</f>
        <v>0.0407366071428571</v>
      </c>
      <c r="Y238" s="16">
        <f>IFERROR(源数据[[#This Row],[播放量]]/源数据[[#This Row],[展示量]],"")</f>
        <v>0.133203125</v>
      </c>
      <c r="Z238" s="16">
        <f>IFERROR(源数据[[#This Row],[三连投放总消耗(毫分)]]/源数据[[#This Row],[播放量]],"")</f>
        <v>0.0507426141600335</v>
      </c>
      <c r="AA23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39" s="2" customFormat="1" spans="1:27">
      <c r="A239" s="7">
        <v>46204</v>
      </c>
      <c r="B239" s="8" t="s">
        <v>572</v>
      </c>
      <c r="C239" s="8" t="s">
        <v>573</v>
      </c>
      <c r="D239" s="8" t="s">
        <v>91</v>
      </c>
      <c r="E239" s="8" t="s">
        <v>92</v>
      </c>
      <c r="F239" s="8" t="s">
        <v>115</v>
      </c>
      <c r="G239" s="9">
        <v>7530</v>
      </c>
      <c r="H239" s="9">
        <v>386</v>
      </c>
      <c r="I239" s="10">
        <v>120.97644</v>
      </c>
      <c r="J239" s="11">
        <v>120.91</v>
      </c>
      <c r="K239" s="12">
        <f t="shared" si="21"/>
        <v>0.051261620185923</v>
      </c>
      <c r="L239" s="13">
        <f t="shared" si="22"/>
        <v>16.0659282868526</v>
      </c>
      <c r="M239" s="13">
        <f t="shared" si="23"/>
        <v>0.313410466321244</v>
      </c>
      <c r="N239" s="11">
        <v>0</v>
      </c>
      <c r="O239" s="11">
        <v>0</v>
      </c>
      <c r="P239" s="11">
        <v>122.68</v>
      </c>
      <c r="Q239" s="13">
        <f t="shared" si="24"/>
        <v>1.01408175013251</v>
      </c>
      <c r="R239" s="11">
        <v>122.68</v>
      </c>
      <c r="S239" s="13">
        <f t="shared" si="25"/>
        <v>1.01408175013251</v>
      </c>
      <c r="T239" s="9">
        <v>1308</v>
      </c>
      <c r="U239" s="13">
        <f t="shared" si="26"/>
        <v>10.812022572329</v>
      </c>
      <c r="V239" s="12">
        <f t="shared" si="27"/>
        <v>0.173705179282869</v>
      </c>
      <c r="W239" s="17">
        <f>COUNTIFS(源数据[日期],源数据[[#This Row],[日期]],源数据[账号id],源数据[[#This Row],[账号id]])</f>
        <v>1</v>
      </c>
      <c r="X239" s="15">
        <f>IFERROR(源数据[[#This Row],[点击量]]/源数据[[#This Row],[展示量]],"")</f>
        <v>0.051261620185923</v>
      </c>
      <c r="Y239" s="16">
        <f>IFERROR(源数据[[#This Row],[播放量]]/源数据[[#This Row],[展示量]],"")</f>
        <v>0.173705179282869</v>
      </c>
      <c r="Z239" s="16">
        <f>IFERROR(源数据[[#This Row],[三连投放总消耗(毫分)]]/源数据[[#This Row],[播放量]],"")</f>
        <v>0.0924896330275229</v>
      </c>
      <c r="AA23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40" s="2" customFormat="1" spans="1:27">
      <c r="A240" s="7">
        <v>46204</v>
      </c>
      <c r="B240" s="8" t="s">
        <v>574</v>
      </c>
      <c r="C240" s="8" t="s">
        <v>575</v>
      </c>
      <c r="D240" s="8" t="s">
        <v>91</v>
      </c>
      <c r="E240" s="8" t="s">
        <v>92</v>
      </c>
      <c r="F240" s="8" t="s">
        <v>93</v>
      </c>
      <c r="G240" s="9">
        <v>8837</v>
      </c>
      <c r="H240" s="9">
        <v>342</v>
      </c>
      <c r="I240" s="10">
        <v>119.61161</v>
      </c>
      <c r="J240" s="11">
        <v>119.53</v>
      </c>
      <c r="K240" s="12">
        <f t="shared" si="21"/>
        <v>0.0387009166006563</v>
      </c>
      <c r="L240" s="13">
        <f t="shared" si="22"/>
        <v>13.5353185470182</v>
      </c>
      <c r="M240" s="13">
        <f t="shared" si="23"/>
        <v>0.349741549707602</v>
      </c>
      <c r="N240" s="11">
        <v>0</v>
      </c>
      <c r="O240" s="11">
        <v>0</v>
      </c>
      <c r="P240" s="11">
        <v>113.6</v>
      </c>
      <c r="Q240" s="13">
        <f t="shared" si="24"/>
        <v>0.949740581202778</v>
      </c>
      <c r="R240" s="11">
        <v>113.6</v>
      </c>
      <c r="S240" s="13">
        <f t="shared" si="25"/>
        <v>0.949740581202778</v>
      </c>
      <c r="T240" s="9">
        <v>2733</v>
      </c>
      <c r="U240" s="13">
        <f t="shared" si="26"/>
        <v>22.8489525389718</v>
      </c>
      <c r="V240" s="12">
        <f t="shared" si="27"/>
        <v>0.309267851080683</v>
      </c>
      <c r="W240" s="17">
        <f>COUNTIFS(源数据[日期],源数据[[#This Row],[日期]],源数据[账号id],源数据[[#This Row],[账号id]])</f>
        <v>1</v>
      </c>
      <c r="X240" s="15">
        <f>IFERROR(源数据[[#This Row],[点击量]]/源数据[[#This Row],[展示量]],"")</f>
        <v>0.0387009166006563</v>
      </c>
      <c r="Y240" s="16">
        <f>IFERROR(源数据[[#This Row],[播放量]]/源数据[[#This Row],[展示量]],"")</f>
        <v>0.309267851080683</v>
      </c>
      <c r="Z240" s="16">
        <f>IFERROR(源数据[[#This Row],[三连投放总消耗(毫分)]]/源数据[[#This Row],[播放量]],"")</f>
        <v>0.0437656824002927</v>
      </c>
      <c r="AA24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41" s="2" customFormat="1" spans="1:27">
      <c r="A241" s="7">
        <v>46204</v>
      </c>
      <c r="B241" s="8" t="s">
        <v>576</v>
      </c>
      <c r="C241" s="8" t="s">
        <v>577</v>
      </c>
      <c r="D241" s="8" t="s">
        <v>91</v>
      </c>
      <c r="E241" s="8" t="s">
        <v>92</v>
      </c>
      <c r="F241" s="8" t="s">
        <v>115</v>
      </c>
      <c r="G241" s="9">
        <v>8045</v>
      </c>
      <c r="H241" s="9">
        <v>614</v>
      </c>
      <c r="I241" s="10">
        <v>118.92106</v>
      </c>
      <c r="J241" s="11">
        <v>118.84</v>
      </c>
      <c r="K241" s="12">
        <f t="shared" si="21"/>
        <v>0.0763206960845245</v>
      </c>
      <c r="L241" s="13">
        <f t="shared" si="22"/>
        <v>14.781983840895</v>
      </c>
      <c r="M241" s="13">
        <f t="shared" si="23"/>
        <v>0.193682508143322</v>
      </c>
      <c r="N241" s="11">
        <v>0</v>
      </c>
      <c r="O241" s="11">
        <v>0</v>
      </c>
      <c r="P241" s="11">
        <v>121.08</v>
      </c>
      <c r="Q241" s="13">
        <f t="shared" si="24"/>
        <v>1.01815439586563</v>
      </c>
      <c r="R241" s="11">
        <v>121.08</v>
      </c>
      <c r="S241" s="13">
        <f t="shared" si="25"/>
        <v>1.01815439586563</v>
      </c>
      <c r="T241" s="9">
        <v>1900</v>
      </c>
      <c r="U241" s="13">
        <f t="shared" si="26"/>
        <v>15.9769850689188</v>
      </c>
      <c r="V241" s="12">
        <f t="shared" si="27"/>
        <v>0.236171535114978</v>
      </c>
      <c r="W241" s="17">
        <f>COUNTIFS(源数据[日期],源数据[[#This Row],[日期]],源数据[账号id],源数据[[#This Row],[账号id]])</f>
        <v>1</v>
      </c>
      <c r="X241" s="15">
        <f>IFERROR(源数据[[#This Row],[点击量]]/源数据[[#This Row],[展示量]],"")</f>
        <v>0.0763206960845245</v>
      </c>
      <c r="Y241" s="16">
        <f>IFERROR(源数据[[#This Row],[播放量]]/源数据[[#This Row],[展示量]],"")</f>
        <v>0.236171535114978</v>
      </c>
      <c r="Z241" s="16">
        <f>IFERROR(源数据[[#This Row],[三连投放总消耗(毫分)]]/源数据[[#This Row],[播放量]],"")</f>
        <v>0.0625900315789474</v>
      </c>
      <c r="AA24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42" s="2" customFormat="1" spans="1:27">
      <c r="A242" s="7">
        <v>46204</v>
      </c>
      <c r="B242" s="8" t="s">
        <v>578</v>
      </c>
      <c r="C242" s="8" t="s">
        <v>579</v>
      </c>
      <c r="D242" s="8" t="s">
        <v>91</v>
      </c>
      <c r="E242" s="8" t="s">
        <v>92</v>
      </c>
      <c r="F242" s="8" t="s">
        <v>152</v>
      </c>
      <c r="G242" s="9">
        <v>3555</v>
      </c>
      <c r="H242" s="9">
        <v>2463</v>
      </c>
      <c r="I242" s="10">
        <v>118.62135</v>
      </c>
      <c r="J242" s="11">
        <v>118.57</v>
      </c>
      <c r="K242" s="12">
        <f t="shared" si="21"/>
        <v>0.692827004219409</v>
      </c>
      <c r="L242" s="13">
        <f t="shared" si="22"/>
        <v>33.3674683544304</v>
      </c>
      <c r="M242" s="13">
        <f t="shared" si="23"/>
        <v>0.0481613276492083</v>
      </c>
      <c r="N242" s="11">
        <v>4.39</v>
      </c>
      <c r="O242" s="11">
        <v>4.39</v>
      </c>
      <c r="P242" s="11">
        <v>85.54</v>
      </c>
      <c r="Q242" s="13">
        <f t="shared" si="24"/>
        <v>0.721118078659533</v>
      </c>
      <c r="R242" s="11">
        <v>89.93</v>
      </c>
      <c r="S242" s="13">
        <f t="shared" si="25"/>
        <v>0.758126593568527</v>
      </c>
      <c r="T242" s="9">
        <v>792</v>
      </c>
      <c r="U242" s="13">
        <f t="shared" si="26"/>
        <v>6.67670701775018</v>
      </c>
      <c r="V242" s="12">
        <f t="shared" si="27"/>
        <v>0.222784810126582</v>
      </c>
      <c r="W242" s="17">
        <f>COUNTIFS(源数据[日期],源数据[[#This Row],[日期]],源数据[账号id],源数据[[#This Row],[账号id]])</f>
        <v>1</v>
      </c>
      <c r="X242" s="15">
        <f>IFERROR(源数据[[#This Row],[点击量]]/源数据[[#This Row],[展示量]],"")</f>
        <v>0.692827004219409</v>
      </c>
      <c r="Y242" s="16">
        <f>IFERROR(源数据[[#This Row],[播放量]]/源数据[[#This Row],[展示量]],"")</f>
        <v>0.222784810126582</v>
      </c>
      <c r="Z242" s="16">
        <f>IFERROR(源数据[[#This Row],[三连投放总消耗(毫分)]]/源数据[[#This Row],[播放量]],"")</f>
        <v>0.149774431818182</v>
      </c>
      <c r="AA24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43" s="2" customFormat="1" spans="1:27">
      <c r="A243" s="7">
        <v>46204</v>
      </c>
      <c r="B243" s="8" t="s">
        <v>580</v>
      </c>
      <c r="C243" s="8" t="s">
        <v>581</v>
      </c>
      <c r="D243" s="8" t="s">
        <v>91</v>
      </c>
      <c r="E243" s="8" t="s">
        <v>92</v>
      </c>
      <c r="F243" s="8" t="s">
        <v>96</v>
      </c>
      <c r="G243" s="9">
        <v>7826</v>
      </c>
      <c r="H243" s="9">
        <v>172</v>
      </c>
      <c r="I243" s="10">
        <v>118.15571</v>
      </c>
      <c r="J243" s="11">
        <v>118.08</v>
      </c>
      <c r="K243" s="12">
        <f t="shared" si="21"/>
        <v>0.021978021978022</v>
      </c>
      <c r="L243" s="13">
        <f t="shared" si="22"/>
        <v>15.0978418093534</v>
      </c>
      <c r="M243" s="13">
        <f t="shared" si="23"/>
        <v>0.686951802325581</v>
      </c>
      <c r="N243" s="11">
        <v>0</v>
      </c>
      <c r="O243" s="11">
        <v>0</v>
      </c>
      <c r="P243" s="11">
        <v>123.76</v>
      </c>
      <c r="Q243" s="13">
        <f t="shared" si="24"/>
        <v>1.0474313937092</v>
      </c>
      <c r="R243" s="11">
        <v>123.76</v>
      </c>
      <c r="S243" s="13">
        <f t="shared" si="25"/>
        <v>1.0474313937092</v>
      </c>
      <c r="T243" s="9">
        <v>1727</v>
      </c>
      <c r="U243" s="13">
        <f t="shared" si="26"/>
        <v>14.6163058899142</v>
      </c>
      <c r="V243" s="12">
        <f t="shared" si="27"/>
        <v>0.220674674163046</v>
      </c>
      <c r="W243" s="17">
        <f>COUNTIFS(源数据[日期],源数据[[#This Row],[日期]],源数据[账号id],源数据[[#This Row],[账号id]])</f>
        <v>1</v>
      </c>
      <c r="X243" s="15">
        <f>IFERROR(源数据[[#This Row],[点击量]]/源数据[[#This Row],[展示量]],"")</f>
        <v>0.021978021978022</v>
      </c>
      <c r="Y243" s="16">
        <f>IFERROR(源数据[[#This Row],[播放量]]/源数据[[#This Row],[展示量]],"")</f>
        <v>0.220674674163046</v>
      </c>
      <c r="Z243" s="16">
        <f>IFERROR(源数据[[#This Row],[三连投放总消耗(毫分)]]/源数据[[#This Row],[播放量]],"")</f>
        <v>0.0684167400115808</v>
      </c>
      <c r="AA24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44" s="2" customFormat="1" spans="1:27">
      <c r="A244" s="7">
        <v>46204</v>
      </c>
      <c r="B244" s="8" t="s">
        <v>582</v>
      </c>
      <c r="C244" s="8" t="s">
        <v>583</v>
      </c>
      <c r="D244" s="8" t="s">
        <v>91</v>
      </c>
      <c r="E244" s="8" t="s">
        <v>92</v>
      </c>
      <c r="F244" s="8" t="s">
        <v>93</v>
      </c>
      <c r="G244" s="9">
        <v>8102</v>
      </c>
      <c r="H244" s="9">
        <v>462</v>
      </c>
      <c r="I244" s="10">
        <v>115.19367</v>
      </c>
      <c r="J244" s="11">
        <v>115.14</v>
      </c>
      <c r="K244" s="12">
        <f t="shared" si="21"/>
        <v>0.0570229572944952</v>
      </c>
      <c r="L244" s="13">
        <f t="shared" si="22"/>
        <v>14.217930140706</v>
      </c>
      <c r="M244" s="13">
        <f t="shared" si="23"/>
        <v>0.249336948051948</v>
      </c>
      <c r="N244" s="11">
        <v>0</v>
      </c>
      <c r="O244" s="11">
        <v>0</v>
      </c>
      <c r="P244" s="11">
        <v>117.9</v>
      </c>
      <c r="Q244" s="13">
        <f t="shared" si="24"/>
        <v>1.02349373884867</v>
      </c>
      <c r="R244" s="11">
        <v>117.9</v>
      </c>
      <c r="S244" s="13">
        <f t="shared" si="25"/>
        <v>1.02349373884867</v>
      </c>
      <c r="T244" s="9">
        <v>1837</v>
      </c>
      <c r="U244" s="13">
        <f t="shared" si="26"/>
        <v>15.9470568131044</v>
      </c>
      <c r="V244" s="12">
        <f t="shared" si="27"/>
        <v>0.226734139718588</v>
      </c>
      <c r="W244" s="17">
        <f>COUNTIFS(源数据[日期],源数据[[#This Row],[日期]],源数据[账号id],源数据[[#This Row],[账号id]])</f>
        <v>1</v>
      </c>
      <c r="X244" s="15">
        <f>IFERROR(源数据[[#This Row],[点击量]]/源数据[[#This Row],[展示量]],"")</f>
        <v>0.0570229572944952</v>
      </c>
      <c r="Y244" s="16">
        <f>IFERROR(源数据[[#This Row],[播放量]]/源数据[[#This Row],[展示量]],"")</f>
        <v>0.226734139718588</v>
      </c>
      <c r="Z244" s="16">
        <f>IFERROR(源数据[[#This Row],[三连投放总消耗(毫分)]]/源数据[[#This Row],[播放量]],"")</f>
        <v>0.0627074959172564</v>
      </c>
      <c r="AA24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45" s="2" customFormat="1" spans="1:27">
      <c r="A245" s="7">
        <v>46204</v>
      </c>
      <c r="B245" s="8" t="s">
        <v>584</v>
      </c>
      <c r="C245" s="8" t="s">
        <v>585</v>
      </c>
      <c r="D245" s="8" t="s">
        <v>91</v>
      </c>
      <c r="E245" s="8" t="s">
        <v>92</v>
      </c>
      <c r="F245" s="8" t="s">
        <v>115</v>
      </c>
      <c r="G245" s="9">
        <v>13966</v>
      </c>
      <c r="H245" s="9">
        <v>522</v>
      </c>
      <c r="I245" s="10">
        <v>113.62012</v>
      </c>
      <c r="J245" s="11">
        <v>113.54</v>
      </c>
      <c r="K245" s="12">
        <f t="shared" si="21"/>
        <v>0.0373764857511098</v>
      </c>
      <c r="L245" s="13">
        <f t="shared" si="22"/>
        <v>8.13548045252757</v>
      </c>
      <c r="M245" s="13">
        <f t="shared" si="23"/>
        <v>0.2176630651341</v>
      </c>
      <c r="N245" s="11">
        <v>0</v>
      </c>
      <c r="O245" s="11">
        <v>0</v>
      </c>
      <c r="P245" s="11">
        <v>113.82</v>
      </c>
      <c r="Q245" s="13">
        <f t="shared" si="24"/>
        <v>1.00175919546644</v>
      </c>
      <c r="R245" s="11">
        <v>113.82</v>
      </c>
      <c r="S245" s="13">
        <f t="shared" si="25"/>
        <v>1.00175919546644</v>
      </c>
      <c r="T245" s="9">
        <v>2667</v>
      </c>
      <c r="U245" s="13">
        <f t="shared" si="26"/>
        <v>23.472955318125</v>
      </c>
      <c r="V245" s="12">
        <f t="shared" si="27"/>
        <v>0.190963769153659</v>
      </c>
      <c r="W245" s="17">
        <f>COUNTIFS(源数据[日期],源数据[[#This Row],[日期]],源数据[账号id],源数据[[#This Row],[账号id]])</f>
        <v>1</v>
      </c>
      <c r="X245" s="15">
        <f>IFERROR(源数据[[#This Row],[点击量]]/源数据[[#This Row],[展示量]],"")</f>
        <v>0.0373764857511098</v>
      </c>
      <c r="Y245" s="16">
        <f>IFERROR(源数据[[#This Row],[播放量]]/源数据[[#This Row],[展示量]],"")</f>
        <v>0.190963769153659</v>
      </c>
      <c r="Z245" s="16">
        <f>IFERROR(源数据[[#This Row],[三连投放总消耗(毫分)]]/源数据[[#This Row],[播放量]],"")</f>
        <v>0.0426022197225347</v>
      </c>
      <c r="AA24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46" s="2" customFormat="1" spans="1:27">
      <c r="A246" s="7">
        <v>46204</v>
      </c>
      <c r="B246" s="8" t="s">
        <v>586</v>
      </c>
      <c r="C246" s="8" t="s">
        <v>587</v>
      </c>
      <c r="D246" s="8" t="s">
        <v>91</v>
      </c>
      <c r="E246" s="8" t="s">
        <v>92</v>
      </c>
      <c r="F246" s="8" t="s">
        <v>115</v>
      </c>
      <c r="G246" s="9">
        <v>13615</v>
      </c>
      <c r="H246" s="9">
        <v>481</v>
      </c>
      <c r="I246" s="10">
        <v>113.03322</v>
      </c>
      <c r="J246" s="11">
        <v>112.96</v>
      </c>
      <c r="K246" s="12">
        <f t="shared" si="21"/>
        <v>0.0353286816011752</v>
      </c>
      <c r="L246" s="13">
        <f t="shared" si="22"/>
        <v>8.30210943811972</v>
      </c>
      <c r="M246" s="13">
        <f t="shared" si="23"/>
        <v>0.234996299376299</v>
      </c>
      <c r="N246" s="11">
        <v>0</v>
      </c>
      <c r="O246" s="11">
        <v>0</v>
      </c>
      <c r="P246" s="11">
        <v>111.54</v>
      </c>
      <c r="Q246" s="13">
        <f t="shared" si="24"/>
        <v>0.986789547356078</v>
      </c>
      <c r="R246" s="11">
        <v>111.54</v>
      </c>
      <c r="S246" s="13">
        <f t="shared" si="25"/>
        <v>0.986789547356078</v>
      </c>
      <c r="T246" s="9">
        <v>1944</v>
      </c>
      <c r="U246" s="13">
        <f t="shared" si="26"/>
        <v>17.1984837731775</v>
      </c>
      <c r="V246" s="12">
        <f t="shared" si="27"/>
        <v>0.142783694454646</v>
      </c>
      <c r="W246" s="17">
        <f>COUNTIFS(源数据[日期],源数据[[#This Row],[日期]],源数据[账号id],源数据[[#This Row],[账号id]])</f>
        <v>1</v>
      </c>
      <c r="X246" s="15">
        <f>IFERROR(源数据[[#This Row],[点击量]]/源数据[[#This Row],[展示量]],"")</f>
        <v>0.0353286816011752</v>
      </c>
      <c r="Y246" s="16">
        <f>IFERROR(源数据[[#This Row],[播放量]]/源数据[[#This Row],[展示量]],"")</f>
        <v>0.142783694454646</v>
      </c>
      <c r="Z246" s="16">
        <f>IFERROR(源数据[[#This Row],[三连投放总消耗(毫分)]]/源数据[[#This Row],[播放量]],"")</f>
        <v>0.0581446604938272</v>
      </c>
      <c r="AA24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47" s="2" customFormat="1" spans="1:27">
      <c r="A247" s="7">
        <v>46204</v>
      </c>
      <c r="B247" s="8" t="s">
        <v>588</v>
      </c>
      <c r="C247" s="8" t="s">
        <v>589</v>
      </c>
      <c r="D247" s="8" t="s">
        <v>91</v>
      </c>
      <c r="E247" s="8" t="s">
        <v>92</v>
      </c>
      <c r="F247" s="8" t="s">
        <v>115</v>
      </c>
      <c r="G247" s="9">
        <v>8127</v>
      </c>
      <c r="H247" s="9">
        <v>113</v>
      </c>
      <c r="I247" s="10">
        <v>112.28936</v>
      </c>
      <c r="J247" s="11">
        <v>112.2</v>
      </c>
      <c r="K247" s="12">
        <f t="shared" si="21"/>
        <v>0.0139042697182232</v>
      </c>
      <c r="L247" s="13">
        <f t="shared" si="22"/>
        <v>13.8168278577581</v>
      </c>
      <c r="M247" s="13">
        <f t="shared" si="23"/>
        <v>0.993711150442478</v>
      </c>
      <c r="N247" s="11">
        <v>0</v>
      </c>
      <c r="O247" s="11">
        <v>0</v>
      </c>
      <c r="P247" s="11">
        <v>111.35</v>
      </c>
      <c r="Q247" s="13">
        <f t="shared" si="24"/>
        <v>0.991634470086925</v>
      </c>
      <c r="R247" s="11">
        <v>111.35</v>
      </c>
      <c r="S247" s="13">
        <f t="shared" si="25"/>
        <v>0.991634470086925</v>
      </c>
      <c r="T247" s="9">
        <v>2221</v>
      </c>
      <c r="U247" s="13">
        <f t="shared" si="26"/>
        <v>19.77925602212</v>
      </c>
      <c r="V247" s="12">
        <f t="shared" si="27"/>
        <v>0.273286575612157</v>
      </c>
      <c r="W247" s="17">
        <f>COUNTIFS(源数据[日期],源数据[[#This Row],[日期]],源数据[账号id],源数据[[#This Row],[账号id]])</f>
        <v>1</v>
      </c>
      <c r="X247" s="15">
        <f>IFERROR(源数据[[#This Row],[点击量]]/源数据[[#This Row],[展示量]],"")</f>
        <v>0.0139042697182232</v>
      </c>
      <c r="Y247" s="16">
        <f>IFERROR(源数据[[#This Row],[播放量]]/源数据[[#This Row],[展示量]],"")</f>
        <v>0.273286575612157</v>
      </c>
      <c r="Z247" s="16">
        <f>IFERROR(源数据[[#This Row],[三连投放总消耗(毫分)]]/源数据[[#This Row],[播放量]],"")</f>
        <v>0.0505580189104007</v>
      </c>
      <c r="AA24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48" s="2" customFormat="1" spans="1:27">
      <c r="A248" s="7">
        <v>46204</v>
      </c>
      <c r="B248" s="8" t="s">
        <v>590</v>
      </c>
      <c r="C248" s="8" t="s">
        <v>591</v>
      </c>
      <c r="D248" s="8" t="s">
        <v>91</v>
      </c>
      <c r="E248" s="8" t="s">
        <v>92</v>
      </c>
      <c r="F248" s="8" t="s">
        <v>152</v>
      </c>
      <c r="G248" s="9">
        <v>2756</v>
      </c>
      <c r="H248" s="9">
        <v>2212</v>
      </c>
      <c r="I248" s="10">
        <v>112.04685</v>
      </c>
      <c r="J248" s="11">
        <v>112.01</v>
      </c>
      <c r="K248" s="12">
        <f t="shared" si="21"/>
        <v>0.802612481857765</v>
      </c>
      <c r="L248" s="13">
        <f t="shared" si="22"/>
        <v>40.6556059506531</v>
      </c>
      <c r="M248" s="13">
        <f t="shared" si="23"/>
        <v>0.0506540913200723</v>
      </c>
      <c r="N248" s="11">
        <v>0</v>
      </c>
      <c r="O248" s="11">
        <v>0</v>
      </c>
      <c r="P248" s="11">
        <v>81.8</v>
      </c>
      <c r="Q248" s="13">
        <f t="shared" si="24"/>
        <v>0.730051759598775</v>
      </c>
      <c r="R248" s="11">
        <v>81.8</v>
      </c>
      <c r="S248" s="13">
        <f t="shared" si="25"/>
        <v>0.730051759598775</v>
      </c>
      <c r="T248" s="9">
        <v>975</v>
      </c>
      <c r="U248" s="13">
        <f t="shared" si="26"/>
        <v>8.70171718348173</v>
      </c>
      <c r="V248" s="12">
        <f t="shared" si="27"/>
        <v>0.35377358490566</v>
      </c>
      <c r="W248" s="17">
        <f>COUNTIFS(源数据[日期],源数据[[#This Row],[日期]],源数据[账号id],源数据[[#This Row],[账号id]])</f>
        <v>1</v>
      </c>
      <c r="X248" s="15">
        <f>IFERROR(源数据[[#This Row],[点击量]]/源数据[[#This Row],[展示量]],"")</f>
        <v>0.802612481857765</v>
      </c>
      <c r="Y248" s="16">
        <f>IFERROR(源数据[[#This Row],[播放量]]/源数据[[#This Row],[展示量]],"")</f>
        <v>0.35377358490566</v>
      </c>
      <c r="Z248" s="16">
        <f>IFERROR(源数据[[#This Row],[三连投放总消耗(毫分)]]/源数据[[#This Row],[播放量]],"")</f>
        <v>0.114919846153846</v>
      </c>
      <c r="AA24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49" s="2" customFormat="1" spans="1:27">
      <c r="A249" s="7">
        <v>46204</v>
      </c>
      <c r="B249" s="8" t="s">
        <v>592</v>
      </c>
      <c r="C249" s="8" t="s">
        <v>593</v>
      </c>
      <c r="D249" s="8" t="s">
        <v>91</v>
      </c>
      <c r="E249" s="8" t="s">
        <v>92</v>
      </c>
      <c r="F249" s="8" t="s">
        <v>93</v>
      </c>
      <c r="G249" s="9">
        <v>11363</v>
      </c>
      <c r="H249" s="9">
        <v>399</v>
      </c>
      <c r="I249" s="10">
        <v>111.60662</v>
      </c>
      <c r="J249" s="11">
        <v>111.53</v>
      </c>
      <c r="K249" s="12">
        <f t="shared" si="21"/>
        <v>0.0351139663821174</v>
      </c>
      <c r="L249" s="13">
        <f t="shared" si="22"/>
        <v>9.82193258822494</v>
      </c>
      <c r="M249" s="13">
        <f t="shared" si="23"/>
        <v>0.279715839598997</v>
      </c>
      <c r="N249" s="11">
        <v>0</v>
      </c>
      <c r="O249" s="11">
        <v>0</v>
      </c>
      <c r="P249" s="11">
        <v>113.66</v>
      </c>
      <c r="Q249" s="13">
        <f t="shared" si="24"/>
        <v>1.01839837099269</v>
      </c>
      <c r="R249" s="11">
        <v>113.66</v>
      </c>
      <c r="S249" s="13">
        <f t="shared" si="25"/>
        <v>1.01839837099269</v>
      </c>
      <c r="T249" s="9">
        <v>2441</v>
      </c>
      <c r="U249" s="13">
        <f t="shared" si="26"/>
        <v>21.8714624634273</v>
      </c>
      <c r="V249" s="12">
        <f t="shared" si="27"/>
        <v>0.214820029921676</v>
      </c>
      <c r="W249" s="17">
        <f>COUNTIFS(源数据[日期],源数据[[#This Row],[日期]],源数据[账号id],源数据[[#This Row],[账号id]])</f>
        <v>1</v>
      </c>
      <c r="X249" s="15">
        <f>IFERROR(源数据[[#This Row],[点击量]]/源数据[[#This Row],[展示量]],"")</f>
        <v>0.0351139663821174</v>
      </c>
      <c r="Y249" s="16">
        <f>IFERROR(源数据[[#This Row],[播放量]]/源数据[[#This Row],[展示量]],"")</f>
        <v>0.214820029921676</v>
      </c>
      <c r="Z249" s="16">
        <f>IFERROR(源数据[[#This Row],[三连投放总消耗(毫分)]]/源数据[[#This Row],[播放量]],"")</f>
        <v>0.045721679639492</v>
      </c>
      <c r="AA24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50" s="2" customFormat="1" spans="1:27">
      <c r="A250" s="7">
        <v>46204</v>
      </c>
      <c r="B250" s="8" t="s">
        <v>594</v>
      </c>
      <c r="C250" s="8" t="s">
        <v>595</v>
      </c>
      <c r="D250" s="8" t="s">
        <v>91</v>
      </c>
      <c r="E250" s="8" t="s">
        <v>92</v>
      </c>
      <c r="F250" s="8" t="s">
        <v>115</v>
      </c>
      <c r="G250" s="9">
        <v>9319</v>
      </c>
      <c r="H250" s="9">
        <v>443</v>
      </c>
      <c r="I250" s="10">
        <v>110.31779</v>
      </c>
      <c r="J250" s="11">
        <v>110.22</v>
      </c>
      <c r="K250" s="12">
        <f t="shared" si="21"/>
        <v>0.0475372894087348</v>
      </c>
      <c r="L250" s="13">
        <f t="shared" si="22"/>
        <v>11.8379429123296</v>
      </c>
      <c r="M250" s="13">
        <f t="shared" si="23"/>
        <v>0.249024356659142</v>
      </c>
      <c r="N250" s="11">
        <v>0</v>
      </c>
      <c r="O250" s="11">
        <v>0</v>
      </c>
      <c r="P250" s="11">
        <v>126.69</v>
      </c>
      <c r="Q250" s="13">
        <f t="shared" si="24"/>
        <v>1.14840951763084</v>
      </c>
      <c r="R250" s="11">
        <v>126.69</v>
      </c>
      <c r="S250" s="13">
        <f t="shared" si="25"/>
        <v>1.14840951763084</v>
      </c>
      <c r="T250" s="9">
        <v>1976</v>
      </c>
      <c r="U250" s="13">
        <f t="shared" si="26"/>
        <v>17.9118889165564</v>
      </c>
      <c r="V250" s="12">
        <f t="shared" si="27"/>
        <v>0.212039918446185</v>
      </c>
      <c r="W250" s="17">
        <f>COUNTIFS(源数据[日期],源数据[[#This Row],[日期]],源数据[账号id],源数据[[#This Row],[账号id]])</f>
        <v>1</v>
      </c>
      <c r="X250" s="15">
        <f>IFERROR(源数据[[#This Row],[点击量]]/源数据[[#This Row],[展示量]],"")</f>
        <v>0.0475372894087348</v>
      </c>
      <c r="Y250" s="16">
        <f>IFERROR(源数据[[#This Row],[播放量]]/源数据[[#This Row],[展示量]],"")</f>
        <v>0.212039918446185</v>
      </c>
      <c r="Z250" s="16">
        <f>IFERROR(源数据[[#This Row],[三连投放总消耗(毫分)]]/源数据[[#This Row],[播放量]],"")</f>
        <v>0.0558288410931174</v>
      </c>
      <c r="AA25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51" s="2" customFormat="1" spans="1:27">
      <c r="A251" s="7">
        <v>46204</v>
      </c>
      <c r="B251" s="8" t="s">
        <v>596</v>
      </c>
      <c r="C251" s="8" t="s">
        <v>597</v>
      </c>
      <c r="D251" s="8" t="s">
        <v>91</v>
      </c>
      <c r="E251" s="8" t="s">
        <v>92</v>
      </c>
      <c r="F251" s="8" t="s">
        <v>96</v>
      </c>
      <c r="G251" s="9">
        <v>11641</v>
      </c>
      <c r="H251" s="9">
        <v>550</v>
      </c>
      <c r="I251" s="10">
        <v>109.62068</v>
      </c>
      <c r="J251" s="11">
        <v>109.55</v>
      </c>
      <c r="K251" s="12">
        <f t="shared" si="21"/>
        <v>0.0472468001030839</v>
      </c>
      <c r="L251" s="13">
        <f t="shared" si="22"/>
        <v>9.41677519113478</v>
      </c>
      <c r="M251" s="13">
        <f t="shared" si="23"/>
        <v>0.199310327272727</v>
      </c>
      <c r="N251" s="11">
        <v>0</v>
      </c>
      <c r="O251" s="11">
        <v>0</v>
      </c>
      <c r="P251" s="11">
        <v>103.01</v>
      </c>
      <c r="Q251" s="13">
        <f t="shared" si="24"/>
        <v>0.939694955367911</v>
      </c>
      <c r="R251" s="11">
        <v>103.01</v>
      </c>
      <c r="S251" s="13">
        <f t="shared" si="25"/>
        <v>0.939694955367911</v>
      </c>
      <c r="T251" s="9">
        <v>1711</v>
      </c>
      <c r="U251" s="13">
        <f t="shared" si="26"/>
        <v>15.6083687858897</v>
      </c>
      <c r="V251" s="12">
        <f t="shared" si="27"/>
        <v>0.146980499957048</v>
      </c>
      <c r="W251" s="17">
        <f>COUNTIFS(源数据[日期],源数据[[#This Row],[日期]],源数据[账号id],源数据[[#This Row],[账号id]])</f>
        <v>1</v>
      </c>
      <c r="X251" s="15">
        <f>IFERROR(源数据[[#This Row],[点击量]]/源数据[[#This Row],[展示量]],"")</f>
        <v>0.0472468001030839</v>
      </c>
      <c r="Y251" s="16">
        <f>IFERROR(源数据[[#This Row],[播放量]]/源数据[[#This Row],[展示量]],"")</f>
        <v>0.146980499957048</v>
      </c>
      <c r="Z251" s="16">
        <f>IFERROR(源数据[[#This Row],[三连投放总消耗(毫分)]]/源数据[[#This Row],[播放量]],"")</f>
        <v>0.0640681940385739</v>
      </c>
      <c r="AA25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52" s="2" customFormat="1" spans="1:27">
      <c r="A252" s="7">
        <v>46204</v>
      </c>
      <c r="B252" s="8" t="s">
        <v>598</v>
      </c>
      <c r="C252" s="8" t="s">
        <v>599</v>
      </c>
      <c r="D252" s="8" t="s">
        <v>91</v>
      </c>
      <c r="E252" s="8" t="s">
        <v>92</v>
      </c>
      <c r="F252" s="8" t="s">
        <v>115</v>
      </c>
      <c r="G252" s="9">
        <v>7265</v>
      </c>
      <c r="H252" s="9">
        <v>719</v>
      </c>
      <c r="I252" s="10">
        <v>108.78182</v>
      </c>
      <c r="J252" s="11">
        <v>108.69</v>
      </c>
      <c r="K252" s="12">
        <f t="shared" si="21"/>
        <v>0.0989676531314522</v>
      </c>
      <c r="L252" s="13">
        <f t="shared" si="22"/>
        <v>14.9734094975912</v>
      </c>
      <c r="M252" s="13">
        <f t="shared" si="23"/>
        <v>0.151295994436718</v>
      </c>
      <c r="N252" s="11">
        <v>0</v>
      </c>
      <c r="O252" s="11">
        <v>0</v>
      </c>
      <c r="P252" s="11">
        <v>121.99</v>
      </c>
      <c r="Q252" s="13">
        <f t="shared" si="24"/>
        <v>1.12141900181483</v>
      </c>
      <c r="R252" s="11">
        <v>121.99</v>
      </c>
      <c r="S252" s="13">
        <f t="shared" si="25"/>
        <v>1.12141900181483</v>
      </c>
      <c r="T252" s="9">
        <v>1814</v>
      </c>
      <c r="U252" s="13">
        <f t="shared" si="26"/>
        <v>16.6755805335855</v>
      </c>
      <c r="V252" s="12">
        <f t="shared" si="27"/>
        <v>0.249690295939436</v>
      </c>
      <c r="W252" s="17">
        <f>COUNTIFS(源数据[日期],源数据[[#This Row],[日期]],源数据[账号id],源数据[[#This Row],[账号id]])</f>
        <v>1</v>
      </c>
      <c r="X252" s="15">
        <f>IFERROR(源数据[[#This Row],[点击量]]/源数据[[#This Row],[展示量]],"")</f>
        <v>0.0989676531314522</v>
      </c>
      <c r="Y252" s="16">
        <f>IFERROR(源数据[[#This Row],[播放量]]/源数据[[#This Row],[展示量]],"")</f>
        <v>0.249690295939436</v>
      </c>
      <c r="Z252" s="16">
        <f>IFERROR(源数据[[#This Row],[三连投放总消耗(毫分)]]/源数据[[#This Row],[播放量]],"")</f>
        <v>0.0599679272326351</v>
      </c>
      <c r="AA25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53" s="2" customFormat="1" spans="1:27">
      <c r="A253" s="7">
        <v>46204</v>
      </c>
      <c r="B253" s="8" t="s">
        <v>600</v>
      </c>
      <c r="C253" s="8" t="s">
        <v>601</v>
      </c>
      <c r="D253" s="8" t="s">
        <v>91</v>
      </c>
      <c r="E253" s="8" t="s">
        <v>92</v>
      </c>
      <c r="F253" s="8" t="s">
        <v>115</v>
      </c>
      <c r="G253" s="9">
        <v>37309</v>
      </c>
      <c r="H253" s="9">
        <v>301</v>
      </c>
      <c r="I253" s="10">
        <v>108.46529</v>
      </c>
      <c r="J253" s="11">
        <v>108.39</v>
      </c>
      <c r="K253" s="12">
        <f t="shared" si="21"/>
        <v>0.00806775844970382</v>
      </c>
      <c r="L253" s="13">
        <f t="shared" si="22"/>
        <v>2.90721514915972</v>
      </c>
      <c r="M253" s="13">
        <f t="shared" si="23"/>
        <v>0.360349800664452</v>
      </c>
      <c r="N253" s="11">
        <v>0</v>
      </c>
      <c r="O253" s="11">
        <v>0</v>
      </c>
      <c r="P253" s="11">
        <v>91.24</v>
      </c>
      <c r="Q253" s="13">
        <f t="shared" si="24"/>
        <v>0.841190762501073</v>
      </c>
      <c r="R253" s="11">
        <v>91.24</v>
      </c>
      <c r="S253" s="13">
        <f t="shared" si="25"/>
        <v>0.841190762501073</v>
      </c>
      <c r="T253" s="9">
        <v>2068</v>
      </c>
      <c r="U253" s="13">
        <f t="shared" si="26"/>
        <v>19.0660071991694</v>
      </c>
      <c r="V253" s="12">
        <f t="shared" si="27"/>
        <v>0.0554289849634137</v>
      </c>
      <c r="W253" s="17">
        <f>COUNTIFS(源数据[日期],源数据[[#This Row],[日期]],源数据[账号id],源数据[[#This Row],[账号id]])</f>
        <v>1</v>
      </c>
      <c r="X253" s="15">
        <f>IFERROR(源数据[[#This Row],[点击量]]/源数据[[#This Row],[展示量]],"")</f>
        <v>0.00806775844970382</v>
      </c>
      <c r="Y253" s="16">
        <f>IFERROR(源数据[[#This Row],[播放量]]/源数据[[#This Row],[展示量]],"")</f>
        <v>0.0554289849634137</v>
      </c>
      <c r="Z253" s="16">
        <f>IFERROR(源数据[[#This Row],[三连投放总消耗(毫分)]]/源数据[[#This Row],[播放量]],"")</f>
        <v>0.0524493665377176</v>
      </c>
      <c r="AA25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54" s="2" customFormat="1" spans="1:27">
      <c r="A254" s="7">
        <v>46204</v>
      </c>
      <c r="B254" s="8" t="s">
        <v>602</v>
      </c>
      <c r="C254" s="8" t="s">
        <v>603</v>
      </c>
      <c r="D254" s="8" t="s">
        <v>91</v>
      </c>
      <c r="E254" s="8" t="s">
        <v>92</v>
      </c>
      <c r="F254" s="8" t="s">
        <v>115</v>
      </c>
      <c r="G254" s="9">
        <v>11462</v>
      </c>
      <c r="H254" s="9">
        <v>317</v>
      </c>
      <c r="I254" s="10">
        <v>108.21683</v>
      </c>
      <c r="J254" s="11">
        <v>108.13</v>
      </c>
      <c r="K254" s="12">
        <f t="shared" si="21"/>
        <v>0.0276566044320363</v>
      </c>
      <c r="L254" s="13">
        <f t="shared" si="22"/>
        <v>9.44135665677892</v>
      </c>
      <c r="M254" s="13">
        <f t="shared" si="23"/>
        <v>0.341378012618297</v>
      </c>
      <c r="N254" s="11">
        <v>0</v>
      </c>
      <c r="O254" s="11">
        <v>0</v>
      </c>
      <c r="P254" s="11">
        <v>97.17</v>
      </c>
      <c r="Q254" s="13">
        <f t="shared" si="24"/>
        <v>0.897919482579558</v>
      </c>
      <c r="R254" s="11">
        <v>97.17</v>
      </c>
      <c r="S254" s="13">
        <f t="shared" si="25"/>
        <v>0.897919482579558</v>
      </c>
      <c r="T254" s="9">
        <v>1930</v>
      </c>
      <c r="U254" s="13">
        <f t="shared" si="26"/>
        <v>17.8345641800818</v>
      </c>
      <c r="V254" s="12">
        <f t="shared" si="27"/>
        <v>0.168382481242366</v>
      </c>
      <c r="W254" s="17">
        <f>COUNTIFS(源数据[日期],源数据[[#This Row],[日期]],源数据[账号id],源数据[[#This Row],[账号id]])</f>
        <v>1</v>
      </c>
      <c r="X254" s="15">
        <f>IFERROR(源数据[[#This Row],[点击量]]/源数据[[#This Row],[展示量]],"")</f>
        <v>0.0276566044320363</v>
      </c>
      <c r="Y254" s="16">
        <f>IFERROR(源数据[[#This Row],[播放量]]/源数据[[#This Row],[展示量]],"")</f>
        <v>0.168382481242366</v>
      </c>
      <c r="Z254" s="16">
        <f>IFERROR(源数据[[#This Row],[三连投放总消耗(毫分)]]/源数据[[#This Row],[播放量]],"")</f>
        <v>0.056070896373057</v>
      </c>
      <c r="AA25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55" s="2" customFormat="1" spans="1:27">
      <c r="A255" s="7">
        <v>46204</v>
      </c>
      <c r="B255" s="8" t="s">
        <v>604</v>
      </c>
      <c r="C255" s="8" t="s">
        <v>605</v>
      </c>
      <c r="D255" s="8" t="s">
        <v>91</v>
      </c>
      <c r="E255" s="8" t="s">
        <v>92</v>
      </c>
      <c r="F255" s="8" t="s">
        <v>93</v>
      </c>
      <c r="G255" s="9">
        <v>8449</v>
      </c>
      <c r="H255" s="9">
        <v>539</v>
      </c>
      <c r="I255" s="10">
        <v>105.75709</v>
      </c>
      <c r="J255" s="11">
        <v>105.69</v>
      </c>
      <c r="K255" s="12">
        <f t="shared" si="21"/>
        <v>0.0637945318972659</v>
      </c>
      <c r="L255" s="13">
        <f t="shared" si="22"/>
        <v>12.5171132678423</v>
      </c>
      <c r="M255" s="13">
        <f t="shared" si="23"/>
        <v>0.196209814471243</v>
      </c>
      <c r="N255" s="11">
        <v>0</v>
      </c>
      <c r="O255" s="11">
        <v>0</v>
      </c>
      <c r="P255" s="11">
        <v>108.53</v>
      </c>
      <c r="Q255" s="13">
        <f t="shared" si="24"/>
        <v>1.02621961326659</v>
      </c>
      <c r="R255" s="11">
        <v>108.53</v>
      </c>
      <c r="S255" s="13">
        <f t="shared" si="25"/>
        <v>1.02621961326659</v>
      </c>
      <c r="T255" s="9">
        <v>2797</v>
      </c>
      <c r="U255" s="13">
        <f t="shared" si="26"/>
        <v>26.4473994131268</v>
      </c>
      <c r="V255" s="12">
        <f t="shared" si="27"/>
        <v>0.331045094093976</v>
      </c>
      <c r="W255" s="17">
        <f>COUNTIFS(源数据[日期],源数据[[#This Row],[日期]],源数据[账号id],源数据[[#This Row],[账号id]])</f>
        <v>1</v>
      </c>
      <c r="X255" s="15">
        <f>IFERROR(源数据[[#This Row],[点击量]]/源数据[[#This Row],[展示量]],"")</f>
        <v>0.0637945318972659</v>
      </c>
      <c r="Y255" s="16">
        <f>IFERROR(源数据[[#This Row],[播放量]]/源数据[[#This Row],[展示量]],"")</f>
        <v>0.331045094093976</v>
      </c>
      <c r="Z255" s="16">
        <f>IFERROR(源数据[[#This Row],[三连投放总消耗(毫分)]]/源数据[[#This Row],[播放量]],"")</f>
        <v>0.03781090096532</v>
      </c>
      <c r="AA25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56" s="2" customFormat="1" spans="1:27">
      <c r="A256" s="7">
        <v>46204</v>
      </c>
      <c r="B256" s="8" t="s">
        <v>606</v>
      </c>
      <c r="C256" s="8" t="s">
        <v>607</v>
      </c>
      <c r="D256" s="8" t="s">
        <v>91</v>
      </c>
      <c r="E256" s="8" t="s">
        <v>92</v>
      </c>
      <c r="F256" s="8" t="s">
        <v>115</v>
      </c>
      <c r="G256" s="9">
        <v>9113</v>
      </c>
      <c r="H256" s="9">
        <v>637</v>
      </c>
      <c r="I256" s="10">
        <v>100.06628</v>
      </c>
      <c r="J256" s="11">
        <v>99.94</v>
      </c>
      <c r="K256" s="12">
        <f t="shared" si="21"/>
        <v>0.0699001426533524</v>
      </c>
      <c r="L256" s="13">
        <f t="shared" si="22"/>
        <v>10.9806079227477</v>
      </c>
      <c r="M256" s="13">
        <f t="shared" si="23"/>
        <v>0.157089921507064</v>
      </c>
      <c r="N256" s="11">
        <v>0</v>
      </c>
      <c r="O256" s="11">
        <v>0</v>
      </c>
      <c r="P256" s="11">
        <v>108.89</v>
      </c>
      <c r="Q256" s="13">
        <f t="shared" si="24"/>
        <v>1.08817875512111</v>
      </c>
      <c r="R256" s="11">
        <v>108.89</v>
      </c>
      <c r="S256" s="13">
        <f t="shared" si="25"/>
        <v>1.08817875512111</v>
      </c>
      <c r="T256" s="9">
        <v>2905</v>
      </c>
      <c r="U256" s="13">
        <f t="shared" si="26"/>
        <v>29.0307584133236</v>
      </c>
      <c r="V256" s="12">
        <f t="shared" si="27"/>
        <v>0.318775375836717</v>
      </c>
      <c r="W256" s="17">
        <f>COUNTIFS(源数据[日期],源数据[[#This Row],[日期]],源数据[账号id],源数据[[#This Row],[账号id]])</f>
        <v>1</v>
      </c>
      <c r="X256" s="15">
        <f>IFERROR(源数据[[#This Row],[点击量]]/源数据[[#This Row],[展示量]],"")</f>
        <v>0.0699001426533524</v>
      </c>
      <c r="Y256" s="16">
        <f>IFERROR(源数据[[#This Row],[播放量]]/源数据[[#This Row],[展示量]],"")</f>
        <v>0.318775375836717</v>
      </c>
      <c r="Z256" s="16">
        <f>IFERROR(源数据[[#This Row],[三连投放总消耗(毫分)]]/源数据[[#This Row],[播放量]],"")</f>
        <v>0.0344462237521515</v>
      </c>
      <c r="AA25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57" s="2" customFormat="1" spans="1:27">
      <c r="A257" s="7">
        <v>46204</v>
      </c>
      <c r="B257" s="8" t="s">
        <v>608</v>
      </c>
      <c r="C257" s="8" t="s">
        <v>609</v>
      </c>
      <c r="D257" s="8" t="s">
        <v>91</v>
      </c>
      <c r="E257" s="8" t="s">
        <v>92</v>
      </c>
      <c r="F257" s="8" t="s">
        <v>110</v>
      </c>
      <c r="G257" s="9">
        <v>11701</v>
      </c>
      <c r="H257" s="9">
        <v>500</v>
      </c>
      <c r="I257" s="10">
        <v>99.34642</v>
      </c>
      <c r="J257" s="11">
        <v>99.31</v>
      </c>
      <c r="K257" s="12">
        <f t="shared" si="21"/>
        <v>0.0427313904794462</v>
      </c>
      <c r="L257" s="13">
        <f t="shared" si="22"/>
        <v>8.49042133151013</v>
      </c>
      <c r="M257" s="13">
        <f t="shared" si="23"/>
        <v>0.19869284</v>
      </c>
      <c r="N257" s="11">
        <v>0</v>
      </c>
      <c r="O257" s="11">
        <v>0</v>
      </c>
      <c r="P257" s="11">
        <v>109.89</v>
      </c>
      <c r="Q257" s="13">
        <f t="shared" si="24"/>
        <v>1.10612944079918</v>
      </c>
      <c r="R257" s="11">
        <v>109.89</v>
      </c>
      <c r="S257" s="13">
        <f t="shared" si="25"/>
        <v>1.10612944079918</v>
      </c>
      <c r="T257" s="9">
        <v>1730</v>
      </c>
      <c r="U257" s="13">
        <f t="shared" si="26"/>
        <v>17.4138132003146</v>
      </c>
      <c r="V257" s="12">
        <f t="shared" si="27"/>
        <v>0.147850611058884</v>
      </c>
      <c r="W257" s="17">
        <f>COUNTIFS(源数据[日期],源数据[[#This Row],[日期]],源数据[账号id],源数据[[#This Row],[账号id]])</f>
        <v>1</v>
      </c>
      <c r="X257" s="15">
        <f>IFERROR(源数据[[#This Row],[点击量]]/源数据[[#This Row],[展示量]],"")</f>
        <v>0.0427313904794462</v>
      </c>
      <c r="Y257" s="16">
        <f>IFERROR(源数据[[#This Row],[播放量]]/源数据[[#This Row],[展示量]],"")</f>
        <v>0.147850611058884</v>
      </c>
      <c r="Z257" s="16">
        <f>IFERROR(源数据[[#This Row],[三连投放总消耗(毫分)]]/源数据[[#This Row],[播放量]],"")</f>
        <v>0.057425676300578</v>
      </c>
      <c r="AA25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58" s="2" customFormat="1" spans="1:27">
      <c r="A258" s="7">
        <v>46204</v>
      </c>
      <c r="B258" s="8" t="s">
        <v>610</v>
      </c>
      <c r="C258" s="8" t="s">
        <v>611</v>
      </c>
      <c r="D258" s="8" t="s">
        <v>91</v>
      </c>
      <c r="E258" s="8" t="s">
        <v>92</v>
      </c>
      <c r="F258" s="8" t="s">
        <v>101</v>
      </c>
      <c r="G258" s="9">
        <v>14552</v>
      </c>
      <c r="H258" s="9">
        <v>448</v>
      </c>
      <c r="I258" s="10">
        <v>98.24397</v>
      </c>
      <c r="J258" s="11">
        <v>98.16</v>
      </c>
      <c r="K258" s="12">
        <f t="shared" ref="K258:K321" si="28">IF(G258=0,0,H258/G258)</f>
        <v>0.0307861462341946</v>
      </c>
      <c r="L258" s="13">
        <f t="shared" ref="L258:L321" si="29">IF(G258=0,0,I258/G258*1000)</f>
        <v>6.75123488180319</v>
      </c>
      <c r="M258" s="13">
        <f t="shared" ref="M258:M321" si="30">IF(H258=0,0,I258/H258)</f>
        <v>0.219294575892857</v>
      </c>
      <c r="N258" s="11">
        <v>0</v>
      </c>
      <c r="O258" s="11">
        <v>0</v>
      </c>
      <c r="P258" s="11">
        <v>139.15</v>
      </c>
      <c r="Q258" s="13">
        <f t="shared" ref="Q258:Q321" si="31">IF(I258=0,0,P258/I258)</f>
        <v>1.41637191575218</v>
      </c>
      <c r="R258" s="11">
        <v>139.15</v>
      </c>
      <c r="S258" s="13">
        <f t="shared" ref="S258:S321" si="32">IF(I258=0,0,R258/I258)</f>
        <v>1.41637191575218</v>
      </c>
      <c r="T258" s="9">
        <v>1476</v>
      </c>
      <c r="U258" s="13">
        <f t="shared" ref="U258:U321" si="33">IF(I258=0,0,T258/I258)</f>
        <v>15.0238228361496</v>
      </c>
      <c r="V258" s="12">
        <f t="shared" ref="V258:V321" si="34">IF(G258=0,0,T258/G258)</f>
        <v>0.101429356789445</v>
      </c>
      <c r="W258" s="17">
        <f>COUNTIFS(源数据[日期],源数据[[#This Row],[日期]],源数据[账号id],源数据[[#This Row],[账号id]])</f>
        <v>1</v>
      </c>
      <c r="X258" s="15">
        <f>IFERROR(源数据[[#This Row],[点击量]]/源数据[[#This Row],[展示量]],"")</f>
        <v>0.0307861462341946</v>
      </c>
      <c r="Y258" s="16">
        <f>IFERROR(源数据[[#This Row],[播放量]]/源数据[[#This Row],[展示量]],"")</f>
        <v>0.101429356789445</v>
      </c>
      <c r="Z258" s="16">
        <f>IFERROR(源数据[[#This Row],[三连投放总消耗(毫分)]]/源数据[[#This Row],[播放量]],"")</f>
        <v>0.0665609552845528</v>
      </c>
      <c r="AA25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59" s="2" customFormat="1" spans="1:27">
      <c r="A259" s="7">
        <v>46204</v>
      </c>
      <c r="B259" s="8" t="s">
        <v>612</v>
      </c>
      <c r="C259" s="8" t="s">
        <v>613</v>
      </c>
      <c r="D259" s="8" t="s">
        <v>91</v>
      </c>
      <c r="E259" s="8" t="s">
        <v>92</v>
      </c>
      <c r="F259" s="8" t="s">
        <v>93</v>
      </c>
      <c r="G259" s="9">
        <v>8697</v>
      </c>
      <c r="H259" s="9">
        <v>455</v>
      </c>
      <c r="I259" s="10">
        <v>93.7674</v>
      </c>
      <c r="J259" s="11">
        <v>93.64</v>
      </c>
      <c r="K259" s="12">
        <f t="shared" si="28"/>
        <v>0.0523168908819133</v>
      </c>
      <c r="L259" s="13">
        <f t="shared" si="29"/>
        <v>10.7815798551225</v>
      </c>
      <c r="M259" s="13">
        <f t="shared" si="30"/>
        <v>0.206082197802198</v>
      </c>
      <c r="N259" s="11">
        <v>0</v>
      </c>
      <c r="O259" s="11">
        <v>0</v>
      </c>
      <c r="P259" s="11">
        <v>94.61</v>
      </c>
      <c r="Q259" s="13">
        <f t="shared" si="31"/>
        <v>1.00898606551957</v>
      </c>
      <c r="R259" s="11">
        <v>94.61</v>
      </c>
      <c r="S259" s="13">
        <f t="shared" si="32"/>
        <v>1.00898606551957</v>
      </c>
      <c r="T259" s="9">
        <v>2464</v>
      </c>
      <c r="U259" s="13">
        <f t="shared" si="33"/>
        <v>26.2777895089338</v>
      </c>
      <c r="V259" s="12">
        <f t="shared" si="34"/>
        <v>0.283316086006669</v>
      </c>
      <c r="W259" s="17">
        <f>COUNTIFS(源数据[日期],源数据[[#This Row],[日期]],源数据[账号id],源数据[[#This Row],[账号id]])</f>
        <v>1</v>
      </c>
      <c r="X259" s="15">
        <f>IFERROR(源数据[[#This Row],[点击量]]/源数据[[#This Row],[展示量]],"")</f>
        <v>0.0523168908819133</v>
      </c>
      <c r="Y259" s="16">
        <f>IFERROR(源数据[[#This Row],[播放量]]/源数据[[#This Row],[展示量]],"")</f>
        <v>0.283316086006669</v>
      </c>
      <c r="Z259" s="16">
        <f>IFERROR(源数据[[#This Row],[三连投放总消耗(毫分)]]/源数据[[#This Row],[播放量]],"")</f>
        <v>0.0380549512987013</v>
      </c>
      <c r="AA25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60" s="2" customFormat="1" spans="1:27">
      <c r="A260" s="7">
        <v>46204</v>
      </c>
      <c r="B260" s="8" t="s">
        <v>614</v>
      </c>
      <c r="C260" s="8" t="s">
        <v>615</v>
      </c>
      <c r="D260" s="8" t="s">
        <v>91</v>
      </c>
      <c r="E260" s="8" t="s">
        <v>92</v>
      </c>
      <c r="F260" s="8" t="s">
        <v>152</v>
      </c>
      <c r="G260" s="9">
        <v>3277</v>
      </c>
      <c r="H260" s="9">
        <v>3140</v>
      </c>
      <c r="I260" s="10">
        <v>93.2949</v>
      </c>
      <c r="J260" s="11">
        <v>93.28</v>
      </c>
      <c r="K260" s="12">
        <f t="shared" si="28"/>
        <v>0.958193469636863</v>
      </c>
      <c r="L260" s="13">
        <f t="shared" si="29"/>
        <v>28.4696063472688</v>
      </c>
      <c r="M260" s="13">
        <f t="shared" si="30"/>
        <v>0.0297117515923567</v>
      </c>
      <c r="N260" s="11">
        <v>0</v>
      </c>
      <c r="O260" s="11">
        <v>0</v>
      </c>
      <c r="P260" s="11">
        <v>53.88</v>
      </c>
      <c r="Q260" s="13">
        <f t="shared" si="31"/>
        <v>0.577523530225125</v>
      </c>
      <c r="R260" s="11">
        <v>53.88</v>
      </c>
      <c r="S260" s="13">
        <f t="shared" si="32"/>
        <v>0.577523530225125</v>
      </c>
      <c r="T260" s="9">
        <v>621</v>
      </c>
      <c r="U260" s="13">
        <f t="shared" si="33"/>
        <v>6.65631240292878</v>
      </c>
      <c r="V260" s="12">
        <f t="shared" si="34"/>
        <v>0.189502593835825</v>
      </c>
      <c r="W260" s="17">
        <f>COUNTIFS(源数据[日期],源数据[[#This Row],[日期]],源数据[账号id],源数据[[#This Row],[账号id]])</f>
        <v>1</v>
      </c>
      <c r="X260" s="15">
        <f>IFERROR(源数据[[#This Row],[点击量]]/源数据[[#This Row],[展示量]],"")</f>
        <v>0.958193469636863</v>
      </c>
      <c r="Y260" s="16">
        <f>IFERROR(源数据[[#This Row],[播放量]]/源数据[[#This Row],[展示量]],"")</f>
        <v>0.189502593835825</v>
      </c>
      <c r="Z260" s="16">
        <f>IFERROR(源数据[[#This Row],[三连投放总消耗(毫分)]]/源数据[[#This Row],[播放量]],"")</f>
        <v>0.150233333333333</v>
      </c>
      <c r="AA26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61" s="2" customFormat="1" spans="1:27">
      <c r="A261" s="7">
        <v>46204</v>
      </c>
      <c r="B261" s="8" t="s">
        <v>616</v>
      </c>
      <c r="C261" s="8" t="s">
        <v>617</v>
      </c>
      <c r="D261" s="8" t="s">
        <v>91</v>
      </c>
      <c r="E261" s="8" t="s">
        <v>92</v>
      </c>
      <c r="F261" s="8" t="s">
        <v>115</v>
      </c>
      <c r="G261" s="9">
        <v>9795</v>
      </c>
      <c r="H261" s="9">
        <v>472</v>
      </c>
      <c r="I261" s="10">
        <v>89.68562</v>
      </c>
      <c r="J261" s="11">
        <v>89.6</v>
      </c>
      <c r="K261" s="12">
        <f t="shared" si="28"/>
        <v>0.0481878509443594</v>
      </c>
      <c r="L261" s="13">
        <f t="shared" si="29"/>
        <v>9.15626544155181</v>
      </c>
      <c r="M261" s="13">
        <f t="shared" si="30"/>
        <v>0.190011906779661</v>
      </c>
      <c r="N261" s="11">
        <v>0</v>
      </c>
      <c r="O261" s="11">
        <v>0</v>
      </c>
      <c r="P261" s="11">
        <v>102.08</v>
      </c>
      <c r="Q261" s="13">
        <f t="shared" si="31"/>
        <v>1.13819807456312</v>
      </c>
      <c r="R261" s="11">
        <v>102.08</v>
      </c>
      <c r="S261" s="13">
        <f t="shared" si="32"/>
        <v>1.13819807456312</v>
      </c>
      <c r="T261" s="9">
        <v>1689</v>
      </c>
      <c r="U261" s="13">
        <f t="shared" si="33"/>
        <v>18.8324505087884</v>
      </c>
      <c r="V261" s="12">
        <f t="shared" si="34"/>
        <v>0.172434915773354</v>
      </c>
      <c r="W261" s="17">
        <f>COUNTIFS(源数据[日期],源数据[[#This Row],[日期]],源数据[账号id],源数据[[#This Row],[账号id]])</f>
        <v>1</v>
      </c>
      <c r="X261" s="15">
        <f>IFERROR(源数据[[#This Row],[点击量]]/源数据[[#This Row],[展示量]],"")</f>
        <v>0.0481878509443594</v>
      </c>
      <c r="Y261" s="16">
        <f>IFERROR(源数据[[#This Row],[播放量]]/源数据[[#This Row],[展示量]],"")</f>
        <v>0.172434915773354</v>
      </c>
      <c r="Z261" s="16">
        <f>IFERROR(源数据[[#This Row],[三连投放总消耗(毫分)]]/源数据[[#This Row],[播放量]],"")</f>
        <v>0.0530998342214328</v>
      </c>
      <c r="AA26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62" s="2" customFormat="1" spans="1:27">
      <c r="A262" s="7">
        <v>46204</v>
      </c>
      <c r="B262" s="8" t="s">
        <v>618</v>
      </c>
      <c r="C262" s="8" t="s">
        <v>619</v>
      </c>
      <c r="D262" s="8" t="s">
        <v>91</v>
      </c>
      <c r="E262" s="8" t="s">
        <v>92</v>
      </c>
      <c r="F262" s="8" t="s">
        <v>96</v>
      </c>
      <c r="G262" s="9">
        <v>10133</v>
      </c>
      <c r="H262" s="9">
        <v>376</v>
      </c>
      <c r="I262" s="10">
        <v>87.20907</v>
      </c>
      <c r="J262" s="11">
        <v>87.15</v>
      </c>
      <c r="K262" s="12">
        <f t="shared" si="28"/>
        <v>0.0371064837659133</v>
      </c>
      <c r="L262" s="13">
        <f t="shared" si="29"/>
        <v>8.60644133030692</v>
      </c>
      <c r="M262" s="13">
        <f t="shared" si="30"/>
        <v>0.231939015957447</v>
      </c>
      <c r="N262" s="11">
        <v>0</v>
      </c>
      <c r="O262" s="11">
        <v>0</v>
      </c>
      <c r="P262" s="11">
        <v>87.7</v>
      </c>
      <c r="Q262" s="13">
        <f t="shared" si="31"/>
        <v>1.00562934566324</v>
      </c>
      <c r="R262" s="11">
        <v>87.7</v>
      </c>
      <c r="S262" s="13">
        <f t="shared" si="32"/>
        <v>1.00562934566324</v>
      </c>
      <c r="T262" s="9">
        <v>2104</v>
      </c>
      <c r="U262" s="13">
        <f t="shared" si="33"/>
        <v>24.1259309381467</v>
      </c>
      <c r="V262" s="12">
        <f t="shared" si="34"/>
        <v>0.207638409158196</v>
      </c>
      <c r="W262" s="17">
        <f>COUNTIFS(源数据[日期],源数据[[#This Row],[日期]],源数据[账号id],源数据[[#This Row],[账号id]])</f>
        <v>1</v>
      </c>
      <c r="X262" s="15">
        <f>IFERROR(源数据[[#This Row],[点击量]]/源数据[[#This Row],[展示量]],"")</f>
        <v>0.0371064837659133</v>
      </c>
      <c r="Y262" s="16">
        <f>IFERROR(源数据[[#This Row],[播放量]]/源数据[[#This Row],[展示量]],"")</f>
        <v>0.207638409158196</v>
      </c>
      <c r="Z262" s="16">
        <f>IFERROR(源数据[[#This Row],[三连投放总消耗(毫分)]]/源数据[[#This Row],[播放量]],"")</f>
        <v>0.041449177756654</v>
      </c>
      <c r="AA26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63" s="2" customFormat="1" spans="1:27">
      <c r="A263" s="7">
        <v>46204</v>
      </c>
      <c r="B263" s="8" t="s">
        <v>620</v>
      </c>
      <c r="C263" s="8" t="s">
        <v>621</v>
      </c>
      <c r="D263" s="8" t="s">
        <v>91</v>
      </c>
      <c r="E263" s="8" t="s">
        <v>92</v>
      </c>
      <c r="F263" s="8" t="s">
        <v>96</v>
      </c>
      <c r="G263" s="9">
        <v>7496</v>
      </c>
      <c r="H263" s="9">
        <v>193</v>
      </c>
      <c r="I263" s="10">
        <v>86.48662</v>
      </c>
      <c r="J263" s="11">
        <v>86.44</v>
      </c>
      <c r="K263" s="12">
        <f t="shared" si="28"/>
        <v>0.0257470651013874</v>
      </c>
      <c r="L263" s="13">
        <f t="shared" si="29"/>
        <v>11.5377027748132</v>
      </c>
      <c r="M263" s="13">
        <f t="shared" si="30"/>
        <v>0.448117202072539</v>
      </c>
      <c r="N263" s="11">
        <v>0</v>
      </c>
      <c r="O263" s="11">
        <v>0</v>
      </c>
      <c r="P263" s="11">
        <v>91.84</v>
      </c>
      <c r="Q263" s="13">
        <f t="shared" si="31"/>
        <v>1.06189836069441</v>
      </c>
      <c r="R263" s="11">
        <v>91.84</v>
      </c>
      <c r="S263" s="13">
        <f t="shared" si="32"/>
        <v>1.06189836069441</v>
      </c>
      <c r="T263" s="9">
        <v>1474</v>
      </c>
      <c r="U263" s="13">
        <f t="shared" si="33"/>
        <v>17.0430986897164</v>
      </c>
      <c r="V263" s="12">
        <f t="shared" si="34"/>
        <v>0.196638207043757</v>
      </c>
      <c r="W263" s="17">
        <f>COUNTIFS(源数据[日期],源数据[[#This Row],[日期]],源数据[账号id],源数据[[#This Row],[账号id]])</f>
        <v>1</v>
      </c>
      <c r="X263" s="15">
        <f>IFERROR(源数据[[#This Row],[点击量]]/源数据[[#This Row],[展示量]],"")</f>
        <v>0.0257470651013874</v>
      </c>
      <c r="Y263" s="16">
        <f>IFERROR(源数据[[#This Row],[播放量]]/源数据[[#This Row],[展示量]],"")</f>
        <v>0.196638207043757</v>
      </c>
      <c r="Z263" s="16">
        <f>IFERROR(源数据[[#This Row],[三连投放总消耗(毫分)]]/源数据[[#This Row],[播放量]],"")</f>
        <v>0.058674776119403</v>
      </c>
      <c r="AA26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64" s="2" customFormat="1" spans="1:27">
      <c r="A264" s="7">
        <v>46204</v>
      </c>
      <c r="B264" s="8" t="s">
        <v>622</v>
      </c>
      <c r="C264" s="8" t="s">
        <v>623</v>
      </c>
      <c r="D264" s="8" t="s">
        <v>91</v>
      </c>
      <c r="E264" s="8" t="s">
        <v>92</v>
      </c>
      <c r="F264" s="8" t="s">
        <v>93</v>
      </c>
      <c r="G264" s="9">
        <v>11217</v>
      </c>
      <c r="H264" s="9">
        <v>625</v>
      </c>
      <c r="I264" s="10">
        <v>84.44147</v>
      </c>
      <c r="J264" s="11">
        <v>84.34</v>
      </c>
      <c r="K264" s="12">
        <f t="shared" si="28"/>
        <v>0.0557189979495409</v>
      </c>
      <c r="L264" s="13">
        <f t="shared" si="29"/>
        <v>7.52799055005795</v>
      </c>
      <c r="M264" s="13">
        <f t="shared" si="30"/>
        <v>0.135106352</v>
      </c>
      <c r="N264" s="11">
        <v>0</v>
      </c>
      <c r="O264" s="11">
        <v>0</v>
      </c>
      <c r="P264" s="11">
        <v>83.43</v>
      </c>
      <c r="Q264" s="13">
        <f t="shared" si="31"/>
        <v>0.98802164386764</v>
      </c>
      <c r="R264" s="11">
        <v>83.43</v>
      </c>
      <c r="S264" s="13">
        <f t="shared" si="32"/>
        <v>0.98802164386764</v>
      </c>
      <c r="T264" s="9">
        <v>2362</v>
      </c>
      <c r="U264" s="13">
        <f t="shared" si="33"/>
        <v>27.972037909809</v>
      </c>
      <c r="V264" s="12">
        <f t="shared" si="34"/>
        <v>0.210573237050905</v>
      </c>
      <c r="W264" s="17">
        <f>COUNTIFS(源数据[日期],源数据[[#This Row],[日期]],源数据[账号id],源数据[[#This Row],[账号id]])</f>
        <v>1</v>
      </c>
      <c r="X264" s="15">
        <f>IFERROR(源数据[[#This Row],[点击量]]/源数据[[#This Row],[展示量]],"")</f>
        <v>0.0557189979495409</v>
      </c>
      <c r="Y264" s="16">
        <f>IFERROR(源数据[[#This Row],[播放量]]/源数据[[#This Row],[展示量]],"")</f>
        <v>0.210573237050905</v>
      </c>
      <c r="Z264" s="16">
        <f>IFERROR(源数据[[#This Row],[三连投放总消耗(毫分)]]/源数据[[#This Row],[播放量]],"")</f>
        <v>0.0357499872988992</v>
      </c>
      <c r="AA26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65" s="2" customFormat="1" spans="1:27">
      <c r="A265" s="7">
        <v>46204</v>
      </c>
      <c r="B265" s="8" t="s">
        <v>624</v>
      </c>
      <c r="C265" s="8" t="s">
        <v>625</v>
      </c>
      <c r="D265" s="8" t="s">
        <v>91</v>
      </c>
      <c r="E265" s="8" t="s">
        <v>92</v>
      </c>
      <c r="F265" s="8" t="s">
        <v>96</v>
      </c>
      <c r="G265" s="9">
        <v>199317</v>
      </c>
      <c r="H265" s="9">
        <v>565</v>
      </c>
      <c r="I265" s="10">
        <v>83.96988</v>
      </c>
      <c r="J265" s="11">
        <v>83.84</v>
      </c>
      <c r="K265" s="12">
        <f t="shared" si="28"/>
        <v>0.00283468043368102</v>
      </c>
      <c r="L265" s="13">
        <f t="shared" si="29"/>
        <v>0.421288098857599</v>
      </c>
      <c r="M265" s="13">
        <f t="shared" si="30"/>
        <v>0.148619256637168</v>
      </c>
      <c r="N265" s="11">
        <v>0</v>
      </c>
      <c r="O265" s="11">
        <v>0</v>
      </c>
      <c r="P265" s="11">
        <v>91.48</v>
      </c>
      <c r="Q265" s="13">
        <f t="shared" si="31"/>
        <v>1.08943826048102</v>
      </c>
      <c r="R265" s="11">
        <v>91.48</v>
      </c>
      <c r="S265" s="13">
        <f t="shared" si="32"/>
        <v>1.08943826048102</v>
      </c>
      <c r="T265" s="9">
        <v>2481</v>
      </c>
      <c r="U265" s="13">
        <f t="shared" si="33"/>
        <v>29.546308747851</v>
      </c>
      <c r="V265" s="12">
        <f t="shared" si="34"/>
        <v>0.0124475082406418</v>
      </c>
      <c r="W265" s="17">
        <f>COUNTIFS(源数据[日期],源数据[[#This Row],[日期]],源数据[账号id],源数据[[#This Row],[账号id]])</f>
        <v>1</v>
      </c>
      <c r="X265" s="15">
        <f>IFERROR(源数据[[#This Row],[点击量]]/源数据[[#This Row],[展示量]],"")</f>
        <v>0.00283468043368102</v>
      </c>
      <c r="Y265" s="16">
        <f>IFERROR(源数据[[#This Row],[播放量]]/源数据[[#This Row],[展示量]],"")</f>
        <v>0.0124475082406418</v>
      </c>
      <c r="Z265" s="16">
        <f>IFERROR(源数据[[#This Row],[三连投放总消耗(毫分)]]/源数据[[#This Row],[播放量]],"")</f>
        <v>0.0338451753325272</v>
      </c>
      <c r="AA26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66" s="2" customFormat="1" spans="1:27">
      <c r="A266" s="7">
        <v>46204</v>
      </c>
      <c r="B266" s="8" t="s">
        <v>626</v>
      </c>
      <c r="C266" s="8" t="s">
        <v>627</v>
      </c>
      <c r="D266" s="8" t="s">
        <v>91</v>
      </c>
      <c r="E266" s="8" t="s">
        <v>92</v>
      </c>
      <c r="F266" s="8" t="s">
        <v>93</v>
      </c>
      <c r="G266" s="9">
        <v>3427</v>
      </c>
      <c r="H266" s="9">
        <v>386</v>
      </c>
      <c r="I266" s="10">
        <v>83.51859</v>
      </c>
      <c r="J266" s="11">
        <v>83.47</v>
      </c>
      <c r="K266" s="12">
        <f t="shared" si="28"/>
        <v>0.112634957688941</v>
      </c>
      <c r="L266" s="13">
        <f t="shared" si="29"/>
        <v>24.3707586810622</v>
      </c>
      <c r="M266" s="13">
        <f t="shared" si="30"/>
        <v>0.216369404145078</v>
      </c>
      <c r="N266" s="11">
        <v>0</v>
      </c>
      <c r="O266" s="11">
        <v>0</v>
      </c>
      <c r="P266" s="11">
        <v>91.04</v>
      </c>
      <c r="Q266" s="13">
        <f t="shared" si="31"/>
        <v>1.09005671671421</v>
      </c>
      <c r="R266" s="11">
        <v>91.04</v>
      </c>
      <c r="S266" s="13">
        <f t="shared" si="32"/>
        <v>1.09005671671421</v>
      </c>
      <c r="T266" s="9">
        <v>939</v>
      </c>
      <c r="U266" s="13">
        <f t="shared" si="33"/>
        <v>11.2430058984473</v>
      </c>
      <c r="V266" s="12">
        <f t="shared" si="34"/>
        <v>0.274000583600817</v>
      </c>
      <c r="W266" s="17">
        <f>COUNTIFS(源数据[日期],源数据[[#This Row],[日期]],源数据[账号id],源数据[[#This Row],[账号id]])</f>
        <v>1</v>
      </c>
      <c r="X266" s="15">
        <f>IFERROR(源数据[[#This Row],[点击量]]/源数据[[#This Row],[展示量]],"")</f>
        <v>0.112634957688941</v>
      </c>
      <c r="Y266" s="16">
        <f>IFERROR(源数据[[#This Row],[播放量]]/源数据[[#This Row],[展示量]],"")</f>
        <v>0.274000583600817</v>
      </c>
      <c r="Z266" s="16">
        <f>IFERROR(源数据[[#This Row],[三连投放总消耗(毫分)]]/源数据[[#This Row],[播放量]],"")</f>
        <v>0.0889441853035144</v>
      </c>
      <c r="AA26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67" s="2" customFormat="1" spans="1:27">
      <c r="A267" s="7">
        <v>46204</v>
      </c>
      <c r="B267" s="8" t="s">
        <v>628</v>
      </c>
      <c r="C267" s="8" t="s">
        <v>629</v>
      </c>
      <c r="D267" s="8" t="s">
        <v>91</v>
      </c>
      <c r="E267" s="8" t="s">
        <v>92</v>
      </c>
      <c r="F267" s="8" t="s">
        <v>96</v>
      </c>
      <c r="G267" s="9">
        <v>10904</v>
      </c>
      <c r="H267" s="9">
        <v>204</v>
      </c>
      <c r="I267" s="10">
        <v>78.64083</v>
      </c>
      <c r="J267" s="11">
        <v>78.55</v>
      </c>
      <c r="K267" s="12">
        <f t="shared" si="28"/>
        <v>0.0187087307410125</v>
      </c>
      <c r="L267" s="13">
        <f t="shared" si="29"/>
        <v>7.21210840058694</v>
      </c>
      <c r="M267" s="13">
        <f t="shared" si="30"/>
        <v>0.385494264705882</v>
      </c>
      <c r="N267" s="11">
        <v>0</v>
      </c>
      <c r="O267" s="11">
        <v>0</v>
      </c>
      <c r="P267" s="11">
        <v>78.91</v>
      </c>
      <c r="Q267" s="13">
        <f t="shared" si="31"/>
        <v>1.00342277669246</v>
      </c>
      <c r="R267" s="11">
        <v>78.91</v>
      </c>
      <c r="S267" s="13">
        <f t="shared" si="32"/>
        <v>1.00342277669246</v>
      </c>
      <c r="T267" s="9">
        <v>1838</v>
      </c>
      <c r="U267" s="13">
        <f t="shared" si="33"/>
        <v>23.3720829243537</v>
      </c>
      <c r="V267" s="12">
        <f t="shared" si="34"/>
        <v>0.168561995597946</v>
      </c>
      <c r="W267" s="17">
        <f>COUNTIFS(源数据[日期],源数据[[#This Row],[日期]],源数据[账号id],源数据[[#This Row],[账号id]])</f>
        <v>1</v>
      </c>
      <c r="X267" s="15">
        <f>IFERROR(源数据[[#This Row],[点击量]]/源数据[[#This Row],[展示量]],"")</f>
        <v>0.0187087307410125</v>
      </c>
      <c r="Y267" s="16">
        <f>IFERROR(源数据[[#This Row],[播放量]]/源数据[[#This Row],[展示量]],"")</f>
        <v>0.168561995597946</v>
      </c>
      <c r="Z267" s="16">
        <f>IFERROR(源数据[[#This Row],[三连投放总消耗(毫分)]]/源数据[[#This Row],[播放量]],"")</f>
        <v>0.0427860881392818</v>
      </c>
      <c r="AA26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68" s="2" customFormat="1" spans="1:27">
      <c r="A268" s="7">
        <v>46204</v>
      </c>
      <c r="B268" s="8" t="s">
        <v>630</v>
      </c>
      <c r="C268" s="8" t="s">
        <v>631</v>
      </c>
      <c r="D268" s="8" t="s">
        <v>91</v>
      </c>
      <c r="E268" s="8" t="s">
        <v>92</v>
      </c>
      <c r="F268" s="8" t="s">
        <v>96</v>
      </c>
      <c r="G268" s="9">
        <v>9623</v>
      </c>
      <c r="H268" s="9">
        <v>382</v>
      </c>
      <c r="I268" s="10">
        <v>77.97289</v>
      </c>
      <c r="J268" s="11">
        <v>77.93</v>
      </c>
      <c r="K268" s="12">
        <f t="shared" si="28"/>
        <v>0.0396965603242232</v>
      </c>
      <c r="L268" s="13">
        <f t="shared" si="29"/>
        <v>8.10276317156812</v>
      </c>
      <c r="M268" s="13">
        <f t="shared" si="30"/>
        <v>0.204117513089005</v>
      </c>
      <c r="N268" s="11">
        <v>0</v>
      </c>
      <c r="O268" s="11">
        <v>0</v>
      </c>
      <c r="P268" s="11">
        <v>78.39</v>
      </c>
      <c r="Q268" s="13">
        <f t="shared" si="31"/>
        <v>1.0053494233701</v>
      </c>
      <c r="R268" s="11">
        <v>78.39</v>
      </c>
      <c r="S268" s="13">
        <f t="shared" si="32"/>
        <v>1.0053494233701</v>
      </c>
      <c r="T268" s="9">
        <v>2768</v>
      </c>
      <c r="U268" s="13">
        <f t="shared" si="33"/>
        <v>35.4995178452408</v>
      </c>
      <c r="V268" s="12">
        <f t="shared" si="34"/>
        <v>0.287644185804843</v>
      </c>
      <c r="W268" s="17">
        <f>COUNTIFS(源数据[日期],源数据[[#This Row],[日期]],源数据[账号id],源数据[[#This Row],[账号id]])</f>
        <v>1</v>
      </c>
      <c r="X268" s="15">
        <f>IFERROR(源数据[[#This Row],[点击量]]/源数据[[#This Row],[展示量]],"")</f>
        <v>0.0396965603242232</v>
      </c>
      <c r="Y268" s="16">
        <f>IFERROR(源数据[[#This Row],[播放量]]/源数据[[#This Row],[展示量]],"")</f>
        <v>0.287644185804843</v>
      </c>
      <c r="Z268" s="16">
        <f>IFERROR(源数据[[#This Row],[三连投放总消耗(毫分)]]/源数据[[#This Row],[播放量]],"")</f>
        <v>0.0281693966763006</v>
      </c>
      <c r="AA26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69" s="2" customFormat="1" spans="1:27">
      <c r="A269" s="7">
        <v>46204</v>
      </c>
      <c r="B269" s="8" t="s">
        <v>632</v>
      </c>
      <c r="C269" s="8" t="s">
        <v>633</v>
      </c>
      <c r="D269" s="8" t="s">
        <v>91</v>
      </c>
      <c r="E269" s="8" t="s">
        <v>92</v>
      </c>
      <c r="F269" s="8" t="s">
        <v>152</v>
      </c>
      <c r="G269" s="9">
        <v>1954</v>
      </c>
      <c r="H269" s="9">
        <v>1204</v>
      </c>
      <c r="I269" s="10">
        <v>73.06081</v>
      </c>
      <c r="J269" s="11">
        <v>73.05</v>
      </c>
      <c r="K269" s="12">
        <f t="shared" si="28"/>
        <v>0.616171954964176</v>
      </c>
      <c r="L269" s="13">
        <f t="shared" si="29"/>
        <v>37.390383828045</v>
      </c>
      <c r="M269" s="13">
        <f t="shared" si="30"/>
        <v>0.0606817358803987</v>
      </c>
      <c r="N269" s="11">
        <v>0</v>
      </c>
      <c r="O269" s="11">
        <v>0</v>
      </c>
      <c r="P269" s="11">
        <v>47.84</v>
      </c>
      <c r="Q269" s="13">
        <f t="shared" si="31"/>
        <v>0.654797010873545</v>
      </c>
      <c r="R269" s="11">
        <v>47.84</v>
      </c>
      <c r="S269" s="13">
        <f t="shared" si="32"/>
        <v>0.654797010873545</v>
      </c>
      <c r="T269" s="9">
        <v>376</v>
      </c>
      <c r="U269" s="13">
        <f t="shared" si="33"/>
        <v>5.14639791154793</v>
      </c>
      <c r="V269" s="12">
        <f t="shared" si="34"/>
        <v>0.192425793244626</v>
      </c>
      <c r="W269" s="17">
        <f>COUNTIFS(源数据[日期],源数据[[#This Row],[日期]],源数据[账号id],源数据[[#This Row],[账号id]])</f>
        <v>1</v>
      </c>
      <c r="X269" s="15">
        <f>IFERROR(源数据[[#This Row],[点击量]]/源数据[[#This Row],[展示量]],"")</f>
        <v>0.616171954964176</v>
      </c>
      <c r="Y269" s="16">
        <f>IFERROR(源数据[[#This Row],[播放量]]/源数据[[#This Row],[展示量]],"")</f>
        <v>0.192425793244626</v>
      </c>
      <c r="Z269" s="16">
        <f>IFERROR(源数据[[#This Row],[三连投放总消耗(毫分)]]/源数据[[#This Row],[播放量]],"")</f>
        <v>0.194310664893617</v>
      </c>
      <c r="AA26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70" s="2" customFormat="1" spans="1:27">
      <c r="A270" s="7">
        <v>46204</v>
      </c>
      <c r="B270" s="8" t="s">
        <v>634</v>
      </c>
      <c r="C270" s="8" t="s">
        <v>635</v>
      </c>
      <c r="D270" s="8" t="s">
        <v>91</v>
      </c>
      <c r="E270" s="8" t="s">
        <v>92</v>
      </c>
      <c r="F270" s="8" t="s">
        <v>96</v>
      </c>
      <c r="G270" s="9">
        <v>13521</v>
      </c>
      <c r="H270" s="9">
        <v>132</v>
      </c>
      <c r="I270" s="10">
        <v>72.8053</v>
      </c>
      <c r="J270" s="11">
        <v>72.69</v>
      </c>
      <c r="K270" s="12">
        <f t="shared" si="28"/>
        <v>0.00976259152429554</v>
      </c>
      <c r="L270" s="13">
        <f t="shared" si="29"/>
        <v>5.38460912654389</v>
      </c>
      <c r="M270" s="13">
        <f t="shared" si="30"/>
        <v>0.551555303030303</v>
      </c>
      <c r="N270" s="11">
        <v>0</v>
      </c>
      <c r="O270" s="11">
        <v>0</v>
      </c>
      <c r="P270" s="11">
        <v>66.72</v>
      </c>
      <c r="Q270" s="13">
        <f t="shared" si="31"/>
        <v>0.916416799326423</v>
      </c>
      <c r="R270" s="11">
        <v>66.72</v>
      </c>
      <c r="S270" s="13">
        <f t="shared" si="32"/>
        <v>0.916416799326423</v>
      </c>
      <c r="T270" s="9">
        <v>1158</v>
      </c>
      <c r="U270" s="13">
        <f t="shared" si="33"/>
        <v>15.9054354559352</v>
      </c>
      <c r="V270" s="12">
        <f t="shared" si="34"/>
        <v>0.0856445529176836</v>
      </c>
      <c r="W270" s="17">
        <f>COUNTIFS(源数据[日期],源数据[[#This Row],[日期]],源数据[账号id],源数据[[#This Row],[账号id]])</f>
        <v>1</v>
      </c>
      <c r="X270" s="15">
        <f>IFERROR(源数据[[#This Row],[点击量]]/源数据[[#This Row],[展示量]],"")</f>
        <v>0.00976259152429554</v>
      </c>
      <c r="Y270" s="16">
        <f>IFERROR(源数据[[#This Row],[播放量]]/源数据[[#This Row],[展示量]],"")</f>
        <v>0.0856445529176836</v>
      </c>
      <c r="Z270" s="16">
        <f>IFERROR(源数据[[#This Row],[三连投放总消耗(毫分)]]/源数据[[#This Row],[播放量]],"")</f>
        <v>0.0628715889464594</v>
      </c>
      <c r="AA27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71" s="2" customFormat="1" spans="1:27">
      <c r="A271" s="7">
        <v>46204</v>
      </c>
      <c r="B271" s="8" t="s">
        <v>636</v>
      </c>
      <c r="C271" s="8" t="s">
        <v>637</v>
      </c>
      <c r="D271" s="8" t="s">
        <v>91</v>
      </c>
      <c r="E271" s="8" t="s">
        <v>92</v>
      </c>
      <c r="F271" s="8" t="s">
        <v>115</v>
      </c>
      <c r="G271" s="9">
        <v>5587</v>
      </c>
      <c r="H271" s="9">
        <v>323</v>
      </c>
      <c r="I271" s="10">
        <v>70.96856</v>
      </c>
      <c r="J271" s="11">
        <v>70.92</v>
      </c>
      <c r="K271" s="12">
        <f t="shared" si="28"/>
        <v>0.0578127796670843</v>
      </c>
      <c r="L271" s="13">
        <f t="shared" si="29"/>
        <v>12.7024449615178</v>
      </c>
      <c r="M271" s="13">
        <f t="shared" si="30"/>
        <v>0.219716904024768</v>
      </c>
      <c r="N271" s="11">
        <v>0</v>
      </c>
      <c r="O271" s="11">
        <v>0</v>
      </c>
      <c r="P271" s="11">
        <v>72.99</v>
      </c>
      <c r="Q271" s="13">
        <f t="shared" si="31"/>
        <v>1.02848359893451</v>
      </c>
      <c r="R271" s="11">
        <v>72.99</v>
      </c>
      <c r="S271" s="13">
        <f t="shared" si="32"/>
        <v>1.02848359893451</v>
      </c>
      <c r="T271" s="9">
        <v>1529</v>
      </c>
      <c r="U271" s="13">
        <f t="shared" si="33"/>
        <v>21.5447516477719</v>
      </c>
      <c r="V271" s="12">
        <f t="shared" si="34"/>
        <v>0.273671022015393</v>
      </c>
      <c r="W271" s="17">
        <f>COUNTIFS(源数据[日期],源数据[[#This Row],[日期]],源数据[账号id],源数据[[#This Row],[账号id]])</f>
        <v>1</v>
      </c>
      <c r="X271" s="15">
        <f>IFERROR(源数据[[#This Row],[点击量]]/源数据[[#This Row],[展示量]],"")</f>
        <v>0.0578127796670843</v>
      </c>
      <c r="Y271" s="16">
        <f>IFERROR(源数据[[#This Row],[播放量]]/源数据[[#This Row],[展示量]],"")</f>
        <v>0.273671022015393</v>
      </c>
      <c r="Z271" s="16">
        <f>IFERROR(源数据[[#This Row],[三连投放总消耗(毫分)]]/源数据[[#This Row],[播放量]],"")</f>
        <v>0.0464150163505559</v>
      </c>
      <c r="AA27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72" s="2" customFormat="1" spans="1:27">
      <c r="A272" s="7">
        <v>46204</v>
      </c>
      <c r="B272" s="8" t="s">
        <v>638</v>
      </c>
      <c r="C272" s="8" t="s">
        <v>639</v>
      </c>
      <c r="D272" s="8" t="s">
        <v>91</v>
      </c>
      <c r="E272" s="8" t="s">
        <v>92</v>
      </c>
      <c r="F272" s="8" t="s">
        <v>152</v>
      </c>
      <c r="G272" s="9">
        <v>4207</v>
      </c>
      <c r="H272" s="9">
        <v>1020</v>
      </c>
      <c r="I272" s="10">
        <v>69.02431</v>
      </c>
      <c r="J272" s="11">
        <v>68.99</v>
      </c>
      <c r="K272" s="12">
        <f t="shared" si="28"/>
        <v>0.242453054433088</v>
      </c>
      <c r="L272" s="13">
        <f t="shared" si="29"/>
        <v>16.4070144996435</v>
      </c>
      <c r="M272" s="13">
        <f t="shared" si="30"/>
        <v>0.0676708921568627</v>
      </c>
      <c r="N272" s="11">
        <v>4.39</v>
      </c>
      <c r="O272" s="11">
        <v>4.39</v>
      </c>
      <c r="P272" s="11">
        <v>52.54</v>
      </c>
      <c r="Q272" s="13">
        <f t="shared" si="31"/>
        <v>0.761181096920781</v>
      </c>
      <c r="R272" s="11">
        <v>56.93</v>
      </c>
      <c r="S272" s="13">
        <f t="shared" si="32"/>
        <v>0.824781877573278</v>
      </c>
      <c r="T272" s="9">
        <v>683</v>
      </c>
      <c r="U272" s="13">
        <f t="shared" si="33"/>
        <v>9.89506450698312</v>
      </c>
      <c r="V272" s="12">
        <f t="shared" si="34"/>
        <v>0.162348466840979</v>
      </c>
      <c r="W272" s="17">
        <f>COUNTIFS(源数据[日期],源数据[[#This Row],[日期]],源数据[账号id],源数据[[#This Row],[账号id]])</f>
        <v>1</v>
      </c>
      <c r="X272" s="15">
        <f>IFERROR(源数据[[#This Row],[点击量]]/源数据[[#This Row],[展示量]],"")</f>
        <v>0.242453054433088</v>
      </c>
      <c r="Y272" s="16">
        <f>IFERROR(源数据[[#This Row],[播放量]]/源数据[[#This Row],[展示量]],"")</f>
        <v>0.162348466840979</v>
      </c>
      <c r="Z272" s="16">
        <f>IFERROR(源数据[[#This Row],[三连投放总消耗(毫分)]]/源数据[[#This Row],[播放量]],"")</f>
        <v>0.101060483162518</v>
      </c>
      <c r="AA27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73" s="2" customFormat="1" spans="1:27">
      <c r="A273" s="7">
        <v>46204</v>
      </c>
      <c r="B273" s="8" t="s">
        <v>640</v>
      </c>
      <c r="C273" s="8" t="s">
        <v>641</v>
      </c>
      <c r="D273" s="8" t="s">
        <v>91</v>
      </c>
      <c r="E273" s="8" t="s">
        <v>92</v>
      </c>
      <c r="F273" s="8" t="s">
        <v>101</v>
      </c>
      <c r="G273" s="9">
        <v>6475</v>
      </c>
      <c r="H273" s="9">
        <v>199</v>
      </c>
      <c r="I273" s="10">
        <v>66.66838</v>
      </c>
      <c r="J273" s="11">
        <v>66.56</v>
      </c>
      <c r="K273" s="12">
        <f t="shared" si="28"/>
        <v>0.0307335907335907</v>
      </c>
      <c r="L273" s="13">
        <f t="shared" si="29"/>
        <v>10.2962749034749</v>
      </c>
      <c r="M273" s="13">
        <f t="shared" si="30"/>
        <v>0.335016984924623</v>
      </c>
      <c r="N273" s="11">
        <v>0</v>
      </c>
      <c r="O273" s="11">
        <v>0</v>
      </c>
      <c r="P273" s="11">
        <v>58.4</v>
      </c>
      <c r="Q273" s="13">
        <f t="shared" si="31"/>
        <v>0.875977487378574</v>
      </c>
      <c r="R273" s="11">
        <v>58.4</v>
      </c>
      <c r="S273" s="13">
        <f t="shared" si="32"/>
        <v>0.875977487378574</v>
      </c>
      <c r="T273" s="9">
        <v>1830</v>
      </c>
      <c r="U273" s="13">
        <f t="shared" si="33"/>
        <v>27.44929455313</v>
      </c>
      <c r="V273" s="12">
        <f t="shared" si="34"/>
        <v>0.282625482625483</v>
      </c>
      <c r="W273" s="17">
        <f>COUNTIFS(源数据[日期],源数据[[#This Row],[日期]],源数据[账号id],源数据[[#This Row],[账号id]])</f>
        <v>1</v>
      </c>
      <c r="X273" s="15">
        <f>IFERROR(源数据[[#This Row],[点击量]]/源数据[[#This Row],[展示量]],"")</f>
        <v>0.0307335907335907</v>
      </c>
      <c r="Y273" s="16">
        <f>IFERROR(源数据[[#This Row],[播放量]]/源数据[[#This Row],[展示量]],"")</f>
        <v>0.282625482625483</v>
      </c>
      <c r="Z273" s="16">
        <f>IFERROR(源数据[[#This Row],[三连投放总消耗(毫分)]]/源数据[[#This Row],[播放量]],"")</f>
        <v>0.0364308087431694</v>
      </c>
      <c r="AA27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74" s="2" customFormat="1" spans="1:27">
      <c r="A274" s="7">
        <v>46204</v>
      </c>
      <c r="B274" s="8" t="s">
        <v>642</v>
      </c>
      <c r="C274" s="8" t="s">
        <v>643</v>
      </c>
      <c r="D274" s="8" t="s">
        <v>91</v>
      </c>
      <c r="E274" s="8" t="s">
        <v>92</v>
      </c>
      <c r="F274" s="8" t="s">
        <v>115</v>
      </c>
      <c r="G274" s="9">
        <v>5095</v>
      </c>
      <c r="H274" s="9">
        <v>309</v>
      </c>
      <c r="I274" s="10">
        <v>62.49129</v>
      </c>
      <c r="J274" s="11">
        <v>62.46</v>
      </c>
      <c r="K274" s="12">
        <f t="shared" si="28"/>
        <v>0.0606476938174681</v>
      </c>
      <c r="L274" s="13">
        <f t="shared" si="29"/>
        <v>12.265218842002</v>
      </c>
      <c r="M274" s="13">
        <f t="shared" si="30"/>
        <v>0.202237184466019</v>
      </c>
      <c r="N274" s="11">
        <v>0</v>
      </c>
      <c r="O274" s="11">
        <v>0</v>
      </c>
      <c r="P274" s="11">
        <v>64.2</v>
      </c>
      <c r="Q274" s="13">
        <f t="shared" si="31"/>
        <v>1.02734317054425</v>
      </c>
      <c r="R274" s="11">
        <v>64.2</v>
      </c>
      <c r="S274" s="13">
        <f t="shared" si="32"/>
        <v>1.02734317054425</v>
      </c>
      <c r="T274" s="9">
        <v>1285</v>
      </c>
      <c r="U274" s="13">
        <f t="shared" si="33"/>
        <v>20.5628656409557</v>
      </c>
      <c r="V274" s="12">
        <f t="shared" si="34"/>
        <v>0.252208047105005</v>
      </c>
      <c r="W274" s="17">
        <f>COUNTIFS(源数据[日期],源数据[[#This Row],[日期]],源数据[账号id],源数据[[#This Row],[账号id]])</f>
        <v>1</v>
      </c>
      <c r="X274" s="15">
        <f>IFERROR(源数据[[#This Row],[点击量]]/源数据[[#This Row],[展示量]],"")</f>
        <v>0.0606476938174681</v>
      </c>
      <c r="Y274" s="16">
        <f>IFERROR(源数据[[#This Row],[播放量]]/源数据[[#This Row],[展示量]],"")</f>
        <v>0.252208047105005</v>
      </c>
      <c r="Z274" s="16">
        <f>IFERROR(源数据[[#This Row],[三连投放总消耗(毫分)]]/源数据[[#This Row],[播放量]],"")</f>
        <v>0.0486313540856031</v>
      </c>
      <c r="AA27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75" s="2" customFormat="1" spans="1:27">
      <c r="A275" s="7">
        <v>46204</v>
      </c>
      <c r="B275" s="8" t="s">
        <v>644</v>
      </c>
      <c r="C275" s="8" t="s">
        <v>645</v>
      </c>
      <c r="D275" s="8" t="s">
        <v>91</v>
      </c>
      <c r="E275" s="8" t="s">
        <v>92</v>
      </c>
      <c r="F275" s="8" t="s">
        <v>115</v>
      </c>
      <c r="G275" s="9">
        <v>4370</v>
      </c>
      <c r="H275" s="9">
        <v>342</v>
      </c>
      <c r="I275" s="10">
        <v>60.16671</v>
      </c>
      <c r="J275" s="11">
        <v>60.07</v>
      </c>
      <c r="K275" s="12">
        <f t="shared" si="28"/>
        <v>0.0782608695652174</v>
      </c>
      <c r="L275" s="13">
        <f t="shared" si="29"/>
        <v>13.7681258581236</v>
      </c>
      <c r="M275" s="13">
        <f t="shared" si="30"/>
        <v>0.175926052631579</v>
      </c>
      <c r="N275" s="11">
        <v>0</v>
      </c>
      <c r="O275" s="11">
        <v>0</v>
      </c>
      <c r="P275" s="11">
        <v>88.86</v>
      </c>
      <c r="Q275" s="13">
        <f t="shared" si="31"/>
        <v>1.47689644323248</v>
      </c>
      <c r="R275" s="11">
        <v>88.86</v>
      </c>
      <c r="S275" s="13">
        <f t="shared" si="32"/>
        <v>1.47689644323248</v>
      </c>
      <c r="T275" s="9">
        <v>1147</v>
      </c>
      <c r="U275" s="13">
        <f t="shared" si="33"/>
        <v>19.06369818127</v>
      </c>
      <c r="V275" s="12">
        <f t="shared" si="34"/>
        <v>0.262471395881007</v>
      </c>
      <c r="W275" s="17">
        <f>COUNTIFS(源数据[日期],源数据[[#This Row],[日期]],源数据[账号id],源数据[[#This Row],[账号id]])</f>
        <v>1</v>
      </c>
      <c r="X275" s="15">
        <f>IFERROR(源数据[[#This Row],[点击量]]/源数据[[#This Row],[展示量]],"")</f>
        <v>0.0782608695652174</v>
      </c>
      <c r="Y275" s="16">
        <f>IFERROR(源数据[[#This Row],[播放量]]/源数据[[#This Row],[展示量]],"")</f>
        <v>0.262471395881007</v>
      </c>
      <c r="Z275" s="16">
        <f>IFERROR(源数据[[#This Row],[三连投放总消耗(毫分)]]/源数据[[#This Row],[播放量]],"")</f>
        <v>0.0524557192676548</v>
      </c>
      <c r="AA27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76" s="2" customFormat="1" spans="1:27">
      <c r="A276" s="7">
        <v>46204</v>
      </c>
      <c r="B276" s="8" t="s">
        <v>646</v>
      </c>
      <c r="C276" s="8" t="s">
        <v>647</v>
      </c>
      <c r="D276" s="8" t="s">
        <v>91</v>
      </c>
      <c r="E276" s="8" t="s">
        <v>92</v>
      </c>
      <c r="F276" s="8" t="s">
        <v>110</v>
      </c>
      <c r="G276" s="9">
        <v>5218</v>
      </c>
      <c r="H276" s="9">
        <v>280</v>
      </c>
      <c r="I276" s="10">
        <v>60.00704</v>
      </c>
      <c r="J276" s="11">
        <v>59.93</v>
      </c>
      <c r="K276" s="12">
        <f t="shared" si="28"/>
        <v>0.0536604062859333</v>
      </c>
      <c r="L276" s="13">
        <f t="shared" si="29"/>
        <v>11.5000076657723</v>
      </c>
      <c r="M276" s="13">
        <f t="shared" si="30"/>
        <v>0.214310857142857</v>
      </c>
      <c r="N276" s="11">
        <v>6.59</v>
      </c>
      <c r="O276" s="11">
        <v>6.59</v>
      </c>
      <c r="P276" s="11">
        <v>34.18</v>
      </c>
      <c r="Q276" s="13">
        <f t="shared" si="31"/>
        <v>0.569599833619522</v>
      </c>
      <c r="R276" s="11">
        <v>40.76</v>
      </c>
      <c r="S276" s="13">
        <f t="shared" si="32"/>
        <v>0.679253634240249</v>
      </c>
      <c r="T276" s="9">
        <v>566</v>
      </c>
      <c r="U276" s="13">
        <f t="shared" si="33"/>
        <v>9.4322266187434</v>
      </c>
      <c r="V276" s="12">
        <f t="shared" si="34"/>
        <v>0.108470678420851</v>
      </c>
      <c r="W276" s="17">
        <f>COUNTIFS(源数据[日期],源数据[[#This Row],[日期]],源数据[账号id],源数据[[#This Row],[账号id]])</f>
        <v>1</v>
      </c>
      <c r="X276" s="15">
        <f>IFERROR(源数据[[#This Row],[点击量]]/源数据[[#This Row],[展示量]],"")</f>
        <v>0.0536604062859333</v>
      </c>
      <c r="Y276" s="16">
        <f>IFERROR(源数据[[#This Row],[播放量]]/源数据[[#This Row],[展示量]],"")</f>
        <v>0.108470678420851</v>
      </c>
      <c r="Z276" s="16">
        <f>IFERROR(源数据[[#This Row],[三连投放总消耗(毫分)]]/源数据[[#This Row],[播放量]],"")</f>
        <v>0.106019505300353</v>
      </c>
      <c r="AA27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77" s="2" customFormat="1" spans="1:27">
      <c r="A277" s="7">
        <v>46204</v>
      </c>
      <c r="B277" s="8" t="s">
        <v>648</v>
      </c>
      <c r="C277" s="8" t="s">
        <v>649</v>
      </c>
      <c r="D277" s="8" t="s">
        <v>91</v>
      </c>
      <c r="E277" s="8" t="s">
        <v>92</v>
      </c>
      <c r="F277" s="8" t="s">
        <v>115</v>
      </c>
      <c r="G277" s="9">
        <v>5934</v>
      </c>
      <c r="H277" s="9">
        <v>256</v>
      </c>
      <c r="I277" s="10">
        <v>56.99276</v>
      </c>
      <c r="J277" s="11">
        <v>56.95</v>
      </c>
      <c r="K277" s="12">
        <f t="shared" si="28"/>
        <v>0.0431412200876306</v>
      </c>
      <c r="L277" s="13">
        <f t="shared" si="29"/>
        <v>9.6044421975059</v>
      </c>
      <c r="M277" s="13">
        <f t="shared" si="30"/>
        <v>0.22262796875</v>
      </c>
      <c r="N277" s="11">
        <v>0</v>
      </c>
      <c r="O277" s="11">
        <v>0</v>
      </c>
      <c r="P277" s="11">
        <v>180.05</v>
      </c>
      <c r="Q277" s="13">
        <f t="shared" si="31"/>
        <v>3.15917320024508</v>
      </c>
      <c r="R277" s="11">
        <v>180.05</v>
      </c>
      <c r="S277" s="13">
        <f t="shared" si="32"/>
        <v>3.15917320024508</v>
      </c>
      <c r="T277" s="9">
        <v>1271</v>
      </c>
      <c r="U277" s="13">
        <f t="shared" si="33"/>
        <v>22.3010782422188</v>
      </c>
      <c r="V277" s="12">
        <f t="shared" si="34"/>
        <v>0.214189416919447</v>
      </c>
      <c r="W277" s="17">
        <f>COUNTIFS(源数据[日期],源数据[[#This Row],[日期]],源数据[账号id],源数据[[#This Row],[账号id]])</f>
        <v>1</v>
      </c>
      <c r="X277" s="15">
        <f>IFERROR(源数据[[#This Row],[点击量]]/源数据[[#This Row],[展示量]],"")</f>
        <v>0.0431412200876306</v>
      </c>
      <c r="Y277" s="16">
        <f>IFERROR(源数据[[#This Row],[播放量]]/源数据[[#This Row],[展示量]],"")</f>
        <v>0.214189416919447</v>
      </c>
      <c r="Z277" s="16">
        <f>IFERROR(源数据[[#This Row],[三连投放总消耗(毫分)]]/源数据[[#This Row],[播放量]],"")</f>
        <v>0.0448408811959087</v>
      </c>
      <c r="AA27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78" s="2" customFormat="1" spans="1:27">
      <c r="A278" s="7">
        <v>46204</v>
      </c>
      <c r="B278" s="8" t="s">
        <v>650</v>
      </c>
      <c r="C278" s="8" t="s">
        <v>651</v>
      </c>
      <c r="D278" s="8" t="s">
        <v>91</v>
      </c>
      <c r="E278" s="8" t="s">
        <v>92</v>
      </c>
      <c r="F278" s="8" t="s">
        <v>101</v>
      </c>
      <c r="G278" s="9">
        <v>7167</v>
      </c>
      <c r="H278" s="9">
        <v>160</v>
      </c>
      <c r="I278" s="10">
        <v>56.91995</v>
      </c>
      <c r="J278" s="11">
        <v>56.8</v>
      </c>
      <c r="K278" s="12">
        <f t="shared" si="28"/>
        <v>0.0223245430445096</v>
      </c>
      <c r="L278" s="13">
        <f t="shared" si="29"/>
        <v>7.94194921166457</v>
      </c>
      <c r="M278" s="13">
        <f t="shared" si="30"/>
        <v>0.3557496875</v>
      </c>
      <c r="N278" s="11">
        <v>0</v>
      </c>
      <c r="O278" s="11">
        <v>0</v>
      </c>
      <c r="P278" s="11">
        <v>61.25</v>
      </c>
      <c r="Q278" s="13">
        <f t="shared" si="31"/>
        <v>1.07607262480027</v>
      </c>
      <c r="R278" s="11">
        <v>61.25</v>
      </c>
      <c r="S278" s="13">
        <f t="shared" si="32"/>
        <v>1.07607262480027</v>
      </c>
      <c r="T278" s="9">
        <v>1940</v>
      </c>
      <c r="U278" s="13">
        <f t="shared" si="33"/>
        <v>34.0829533406126</v>
      </c>
      <c r="V278" s="12">
        <f t="shared" si="34"/>
        <v>0.270685084414678</v>
      </c>
      <c r="W278" s="17">
        <f>COUNTIFS(源数据[日期],源数据[[#This Row],[日期]],源数据[账号id],源数据[[#This Row],[账号id]])</f>
        <v>1</v>
      </c>
      <c r="X278" s="15">
        <f>IFERROR(源数据[[#This Row],[点击量]]/源数据[[#This Row],[展示量]],"")</f>
        <v>0.0223245430445096</v>
      </c>
      <c r="Y278" s="16">
        <f>IFERROR(源数据[[#This Row],[播放量]]/源数据[[#This Row],[展示量]],"")</f>
        <v>0.270685084414678</v>
      </c>
      <c r="Z278" s="16">
        <f>IFERROR(源数据[[#This Row],[三连投放总消耗(毫分)]]/源数据[[#This Row],[播放量]],"")</f>
        <v>0.0293401804123711</v>
      </c>
      <c r="AA27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79" s="2" customFormat="1" spans="1:27">
      <c r="A279" s="7">
        <v>46204</v>
      </c>
      <c r="B279" s="8" t="s">
        <v>652</v>
      </c>
      <c r="C279" s="8" t="s">
        <v>653</v>
      </c>
      <c r="D279" s="8" t="s">
        <v>91</v>
      </c>
      <c r="E279" s="8" t="s">
        <v>92</v>
      </c>
      <c r="F279" s="8" t="s">
        <v>101</v>
      </c>
      <c r="G279" s="9">
        <v>8867</v>
      </c>
      <c r="H279" s="9">
        <v>190</v>
      </c>
      <c r="I279" s="10">
        <v>55.97875</v>
      </c>
      <c r="J279" s="11">
        <v>55.88</v>
      </c>
      <c r="K279" s="12">
        <f t="shared" si="28"/>
        <v>0.0214277658734634</v>
      </c>
      <c r="L279" s="13">
        <f t="shared" si="29"/>
        <v>6.31315552046915</v>
      </c>
      <c r="M279" s="13">
        <f t="shared" si="30"/>
        <v>0.294625</v>
      </c>
      <c r="N279" s="11">
        <v>0</v>
      </c>
      <c r="O279" s="11">
        <v>0</v>
      </c>
      <c r="P279" s="11">
        <v>60.92</v>
      </c>
      <c r="Q279" s="13">
        <f t="shared" si="31"/>
        <v>1.08827010249425</v>
      </c>
      <c r="R279" s="11">
        <v>60.92</v>
      </c>
      <c r="S279" s="13">
        <f t="shared" si="32"/>
        <v>1.08827010249425</v>
      </c>
      <c r="T279" s="9">
        <v>2630</v>
      </c>
      <c r="U279" s="13">
        <f t="shared" si="33"/>
        <v>46.9821137485206</v>
      </c>
      <c r="V279" s="12">
        <f t="shared" si="34"/>
        <v>0.296605390774783</v>
      </c>
      <c r="W279" s="17">
        <f>COUNTIFS(源数据[日期],源数据[[#This Row],[日期]],源数据[账号id],源数据[[#This Row],[账号id]])</f>
        <v>1</v>
      </c>
      <c r="X279" s="15">
        <f>IFERROR(源数据[[#This Row],[点击量]]/源数据[[#This Row],[展示量]],"")</f>
        <v>0.0214277658734634</v>
      </c>
      <c r="Y279" s="16">
        <f>IFERROR(源数据[[#This Row],[播放量]]/源数据[[#This Row],[展示量]],"")</f>
        <v>0.296605390774783</v>
      </c>
      <c r="Z279" s="16">
        <f>IFERROR(源数据[[#This Row],[三连投放总消耗(毫分)]]/源数据[[#This Row],[播放量]],"")</f>
        <v>0.0212846958174905</v>
      </c>
      <c r="AA27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80" s="2" customFormat="1" spans="1:27">
      <c r="A280" s="7">
        <v>46204</v>
      </c>
      <c r="B280" s="8" t="s">
        <v>654</v>
      </c>
      <c r="C280" s="8" t="s">
        <v>655</v>
      </c>
      <c r="D280" s="8" t="s">
        <v>91</v>
      </c>
      <c r="E280" s="8" t="s">
        <v>92</v>
      </c>
      <c r="F280" s="8" t="s">
        <v>152</v>
      </c>
      <c r="G280" s="9">
        <v>3065</v>
      </c>
      <c r="H280" s="9">
        <v>1203</v>
      </c>
      <c r="I280" s="10">
        <v>54.48686</v>
      </c>
      <c r="J280" s="11">
        <v>54.45</v>
      </c>
      <c r="K280" s="12">
        <f t="shared" si="28"/>
        <v>0.392495921696574</v>
      </c>
      <c r="L280" s="13">
        <f t="shared" si="29"/>
        <v>17.7771158238173</v>
      </c>
      <c r="M280" s="13">
        <f t="shared" si="30"/>
        <v>0.0452924854530341</v>
      </c>
      <c r="N280" s="11">
        <v>0</v>
      </c>
      <c r="O280" s="11">
        <v>0</v>
      </c>
      <c r="P280" s="11">
        <v>43.68</v>
      </c>
      <c r="Q280" s="13">
        <f t="shared" si="31"/>
        <v>0.801661171152091</v>
      </c>
      <c r="R280" s="11">
        <v>43.68</v>
      </c>
      <c r="S280" s="13">
        <f t="shared" si="32"/>
        <v>0.801661171152091</v>
      </c>
      <c r="T280" s="9">
        <v>701</v>
      </c>
      <c r="U280" s="13">
        <f t="shared" si="33"/>
        <v>12.8654872018685</v>
      </c>
      <c r="V280" s="12">
        <f t="shared" si="34"/>
        <v>0.228711256117455</v>
      </c>
      <c r="W280" s="17">
        <f>COUNTIFS(源数据[日期],源数据[[#This Row],[日期]],源数据[账号id],源数据[[#This Row],[账号id]])</f>
        <v>1</v>
      </c>
      <c r="X280" s="15">
        <f>IFERROR(源数据[[#This Row],[点击量]]/源数据[[#This Row],[展示量]],"")</f>
        <v>0.392495921696574</v>
      </c>
      <c r="Y280" s="16">
        <f>IFERROR(源数据[[#This Row],[播放量]]/源数据[[#This Row],[展示量]],"")</f>
        <v>0.228711256117455</v>
      </c>
      <c r="Z280" s="16">
        <f>IFERROR(源数据[[#This Row],[三连投放总消耗(毫分)]]/源数据[[#This Row],[播放量]],"")</f>
        <v>0.077727332382311</v>
      </c>
      <c r="AA28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81" s="2" customFormat="1" spans="1:27">
      <c r="A281" s="7">
        <v>46204</v>
      </c>
      <c r="B281" s="8" t="s">
        <v>656</v>
      </c>
      <c r="C281" s="8" t="s">
        <v>657</v>
      </c>
      <c r="D281" s="8" t="s">
        <v>91</v>
      </c>
      <c r="E281" s="8" t="s">
        <v>92</v>
      </c>
      <c r="F281" s="8" t="s">
        <v>115</v>
      </c>
      <c r="G281" s="9">
        <v>8453</v>
      </c>
      <c r="H281" s="9">
        <v>224</v>
      </c>
      <c r="I281" s="10">
        <v>54.29732</v>
      </c>
      <c r="J281" s="11">
        <v>54.23</v>
      </c>
      <c r="K281" s="12">
        <f t="shared" si="28"/>
        <v>0.0264994676446232</v>
      </c>
      <c r="L281" s="13">
        <f t="shared" si="29"/>
        <v>6.42343783272211</v>
      </c>
      <c r="M281" s="13">
        <f t="shared" si="30"/>
        <v>0.24239875</v>
      </c>
      <c r="N281" s="11">
        <v>0</v>
      </c>
      <c r="O281" s="11">
        <v>0</v>
      </c>
      <c r="P281" s="11">
        <v>44.66</v>
      </c>
      <c r="Q281" s="13">
        <f t="shared" si="31"/>
        <v>0.822508366895456</v>
      </c>
      <c r="R281" s="11">
        <v>44.66</v>
      </c>
      <c r="S281" s="13">
        <f t="shared" si="32"/>
        <v>0.822508366895456</v>
      </c>
      <c r="T281" s="9">
        <v>1001</v>
      </c>
      <c r="U281" s="13">
        <f t="shared" si="33"/>
        <v>18.4355323614499</v>
      </c>
      <c r="V281" s="12">
        <f t="shared" si="34"/>
        <v>0.11841949603691</v>
      </c>
      <c r="W281" s="17">
        <f>COUNTIFS(源数据[日期],源数据[[#This Row],[日期]],源数据[账号id],源数据[[#This Row],[账号id]])</f>
        <v>1</v>
      </c>
      <c r="X281" s="15">
        <f>IFERROR(源数据[[#This Row],[点击量]]/源数据[[#This Row],[展示量]],"")</f>
        <v>0.0264994676446232</v>
      </c>
      <c r="Y281" s="16">
        <f>IFERROR(源数据[[#This Row],[播放量]]/源数据[[#This Row],[展示量]],"")</f>
        <v>0.11841949603691</v>
      </c>
      <c r="Z281" s="16">
        <f>IFERROR(源数据[[#This Row],[三连投放总消耗(毫分)]]/源数据[[#This Row],[播放量]],"")</f>
        <v>0.0542430769230769</v>
      </c>
      <c r="AA28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82" s="2" customFormat="1" spans="1:27">
      <c r="A282" s="7">
        <v>46204</v>
      </c>
      <c r="B282" s="8" t="s">
        <v>658</v>
      </c>
      <c r="C282" s="8" t="s">
        <v>659</v>
      </c>
      <c r="D282" s="8" t="s">
        <v>91</v>
      </c>
      <c r="E282" s="8" t="s">
        <v>92</v>
      </c>
      <c r="F282" s="8" t="s">
        <v>101</v>
      </c>
      <c r="G282" s="9">
        <v>5844</v>
      </c>
      <c r="H282" s="9">
        <v>222</v>
      </c>
      <c r="I282" s="10">
        <v>54.11646</v>
      </c>
      <c r="J282" s="11">
        <v>54.01</v>
      </c>
      <c r="K282" s="12">
        <f t="shared" si="28"/>
        <v>0.0379876796714579</v>
      </c>
      <c r="L282" s="13">
        <f t="shared" si="29"/>
        <v>9.26017453798768</v>
      </c>
      <c r="M282" s="13">
        <f t="shared" si="30"/>
        <v>0.243767837837838</v>
      </c>
      <c r="N282" s="11">
        <v>0</v>
      </c>
      <c r="O282" s="11">
        <v>0</v>
      </c>
      <c r="P282" s="11">
        <v>56.17</v>
      </c>
      <c r="Q282" s="13">
        <f t="shared" si="31"/>
        <v>1.03794668017827</v>
      </c>
      <c r="R282" s="11">
        <v>56.17</v>
      </c>
      <c r="S282" s="13">
        <f t="shared" si="32"/>
        <v>1.03794668017827</v>
      </c>
      <c r="T282" s="9">
        <v>1809</v>
      </c>
      <c r="U282" s="13">
        <f t="shared" si="33"/>
        <v>33.4279071469198</v>
      </c>
      <c r="V282" s="12">
        <f t="shared" si="34"/>
        <v>0.309548254620123</v>
      </c>
      <c r="W282" s="17">
        <f>COUNTIFS(源数据[日期],源数据[[#This Row],[日期]],源数据[账号id],源数据[[#This Row],[账号id]])</f>
        <v>1</v>
      </c>
      <c r="X282" s="15">
        <f>IFERROR(源数据[[#This Row],[点击量]]/源数据[[#This Row],[展示量]],"")</f>
        <v>0.0379876796714579</v>
      </c>
      <c r="Y282" s="16">
        <f>IFERROR(源数据[[#This Row],[播放量]]/源数据[[#This Row],[展示量]],"")</f>
        <v>0.309548254620123</v>
      </c>
      <c r="Z282" s="16">
        <f>IFERROR(源数据[[#This Row],[三连投放总消耗(毫分)]]/源数据[[#This Row],[播放量]],"")</f>
        <v>0.0299151243781095</v>
      </c>
      <c r="AA28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83" s="2" customFormat="1" spans="1:27">
      <c r="A283" s="7">
        <v>46204</v>
      </c>
      <c r="B283" s="8" t="s">
        <v>660</v>
      </c>
      <c r="C283" s="8" t="s">
        <v>661</v>
      </c>
      <c r="D283" s="8" t="s">
        <v>91</v>
      </c>
      <c r="E283" s="8" t="s">
        <v>92</v>
      </c>
      <c r="F283" s="8" t="s">
        <v>101</v>
      </c>
      <c r="G283" s="9">
        <v>7533</v>
      </c>
      <c r="H283" s="9">
        <v>210</v>
      </c>
      <c r="I283" s="10">
        <v>53.40356</v>
      </c>
      <c r="J283" s="11">
        <v>53.29</v>
      </c>
      <c r="K283" s="12">
        <f t="shared" si="28"/>
        <v>0.0278773397052967</v>
      </c>
      <c r="L283" s="13">
        <f t="shared" si="29"/>
        <v>7.0892818266295</v>
      </c>
      <c r="M283" s="13">
        <f t="shared" si="30"/>
        <v>0.254302666666667</v>
      </c>
      <c r="N283" s="11">
        <v>0</v>
      </c>
      <c r="O283" s="11">
        <v>0</v>
      </c>
      <c r="P283" s="11">
        <v>55.48</v>
      </c>
      <c r="Q283" s="13">
        <f t="shared" si="31"/>
        <v>1.03888205205795</v>
      </c>
      <c r="R283" s="11">
        <v>55.48</v>
      </c>
      <c r="S283" s="13">
        <f t="shared" si="32"/>
        <v>1.03888205205795</v>
      </c>
      <c r="T283" s="9">
        <v>1625</v>
      </c>
      <c r="U283" s="13">
        <f t="shared" si="33"/>
        <v>30.4286830316181</v>
      </c>
      <c r="V283" s="12">
        <f t="shared" si="34"/>
        <v>0.21571750962432</v>
      </c>
      <c r="W283" s="17">
        <f>COUNTIFS(源数据[日期],源数据[[#This Row],[日期]],源数据[账号id],源数据[[#This Row],[账号id]])</f>
        <v>1</v>
      </c>
      <c r="X283" s="15">
        <f>IFERROR(源数据[[#This Row],[点击量]]/源数据[[#This Row],[展示量]],"")</f>
        <v>0.0278773397052967</v>
      </c>
      <c r="Y283" s="16">
        <f>IFERROR(源数据[[#This Row],[播放量]]/源数据[[#This Row],[展示量]],"")</f>
        <v>0.21571750962432</v>
      </c>
      <c r="Z283" s="16">
        <f>IFERROR(源数据[[#This Row],[三连投放总消耗(毫分)]]/源数据[[#This Row],[播放量]],"")</f>
        <v>0.0328637292307692</v>
      </c>
      <c r="AA28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84" s="2" customFormat="1" spans="1:27">
      <c r="A284" s="7">
        <v>46204</v>
      </c>
      <c r="B284" s="8" t="s">
        <v>662</v>
      </c>
      <c r="C284" s="8" t="s">
        <v>663</v>
      </c>
      <c r="D284" s="8" t="s">
        <v>91</v>
      </c>
      <c r="E284" s="8" t="s">
        <v>92</v>
      </c>
      <c r="F284" s="8" t="s">
        <v>115</v>
      </c>
      <c r="G284" s="9">
        <v>4310</v>
      </c>
      <c r="H284" s="9">
        <v>385</v>
      </c>
      <c r="I284" s="10">
        <v>50.59444</v>
      </c>
      <c r="J284" s="11">
        <v>50.58</v>
      </c>
      <c r="K284" s="12">
        <f t="shared" si="28"/>
        <v>0.0893271461716937</v>
      </c>
      <c r="L284" s="13">
        <f t="shared" si="29"/>
        <v>11.738849187935</v>
      </c>
      <c r="M284" s="13">
        <f t="shared" si="30"/>
        <v>0.13141412987013</v>
      </c>
      <c r="N284" s="11">
        <v>0</v>
      </c>
      <c r="O284" s="11">
        <v>0</v>
      </c>
      <c r="P284" s="11">
        <v>53.02</v>
      </c>
      <c r="Q284" s="13">
        <f t="shared" si="31"/>
        <v>1.0479412362307</v>
      </c>
      <c r="R284" s="11">
        <v>53.02</v>
      </c>
      <c r="S284" s="13">
        <f t="shared" si="32"/>
        <v>1.0479412362307</v>
      </c>
      <c r="T284" s="9">
        <v>1150</v>
      </c>
      <c r="U284" s="13">
        <f t="shared" si="33"/>
        <v>22.7297703067768</v>
      </c>
      <c r="V284" s="12">
        <f t="shared" si="34"/>
        <v>0.266821345707657</v>
      </c>
      <c r="W284" s="17">
        <f>COUNTIFS(源数据[日期],源数据[[#This Row],[日期]],源数据[账号id],源数据[[#This Row],[账号id]])</f>
        <v>1</v>
      </c>
      <c r="X284" s="15">
        <f>IFERROR(源数据[[#This Row],[点击量]]/源数据[[#This Row],[展示量]],"")</f>
        <v>0.0893271461716937</v>
      </c>
      <c r="Y284" s="16">
        <f>IFERROR(源数据[[#This Row],[播放量]]/源数据[[#This Row],[展示量]],"")</f>
        <v>0.266821345707657</v>
      </c>
      <c r="Z284" s="16">
        <f>IFERROR(源数据[[#This Row],[三连投放总消耗(毫分)]]/源数据[[#This Row],[播放量]],"")</f>
        <v>0.0439951652173913</v>
      </c>
      <c r="AA28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85" s="2" customFormat="1" spans="1:27">
      <c r="A285" s="7">
        <v>46204</v>
      </c>
      <c r="B285" s="8" t="s">
        <v>664</v>
      </c>
      <c r="C285" s="8" t="s">
        <v>665</v>
      </c>
      <c r="D285" s="8" t="s">
        <v>91</v>
      </c>
      <c r="E285" s="8" t="s">
        <v>92</v>
      </c>
      <c r="F285" s="8" t="s">
        <v>115</v>
      </c>
      <c r="G285" s="9">
        <v>3703</v>
      </c>
      <c r="H285" s="9">
        <v>241</v>
      </c>
      <c r="I285" s="10">
        <v>49.36661</v>
      </c>
      <c r="J285" s="11">
        <v>49.34</v>
      </c>
      <c r="K285" s="12">
        <f t="shared" si="28"/>
        <v>0.0650823656494734</v>
      </c>
      <c r="L285" s="13">
        <f t="shared" si="29"/>
        <v>13.3315176883608</v>
      </c>
      <c r="M285" s="13">
        <f t="shared" si="30"/>
        <v>0.204840705394191</v>
      </c>
      <c r="N285" s="11">
        <v>0</v>
      </c>
      <c r="O285" s="11">
        <v>0</v>
      </c>
      <c r="P285" s="11">
        <v>49.22</v>
      </c>
      <c r="Q285" s="13">
        <f t="shared" si="31"/>
        <v>0.997030178900273</v>
      </c>
      <c r="R285" s="11">
        <v>49.22</v>
      </c>
      <c r="S285" s="13">
        <f t="shared" si="32"/>
        <v>0.997030178900273</v>
      </c>
      <c r="T285" s="9">
        <v>1027</v>
      </c>
      <c r="U285" s="13">
        <f t="shared" si="33"/>
        <v>20.8035350209382</v>
      </c>
      <c r="V285" s="12">
        <f t="shared" si="34"/>
        <v>0.277342695112071</v>
      </c>
      <c r="W285" s="17">
        <f>COUNTIFS(源数据[日期],源数据[[#This Row],[日期]],源数据[账号id],源数据[[#This Row],[账号id]])</f>
        <v>1</v>
      </c>
      <c r="X285" s="15">
        <f>IFERROR(源数据[[#This Row],[点击量]]/源数据[[#This Row],[展示量]],"")</f>
        <v>0.0650823656494734</v>
      </c>
      <c r="Y285" s="16">
        <f>IFERROR(源数据[[#This Row],[播放量]]/源数据[[#This Row],[展示量]],"")</f>
        <v>0.277342695112071</v>
      </c>
      <c r="Z285" s="16">
        <f>IFERROR(源数据[[#This Row],[三连投放总消耗(毫分)]]/源数据[[#This Row],[播放量]],"")</f>
        <v>0.0480687536514119</v>
      </c>
      <c r="AA28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86" s="2" customFormat="1" spans="1:27">
      <c r="A286" s="7">
        <v>46204</v>
      </c>
      <c r="B286" s="8" t="s">
        <v>666</v>
      </c>
      <c r="C286" s="8" t="s">
        <v>667</v>
      </c>
      <c r="D286" s="8" t="s">
        <v>91</v>
      </c>
      <c r="E286" s="8" t="s">
        <v>92</v>
      </c>
      <c r="F286" s="8" t="s">
        <v>152</v>
      </c>
      <c r="G286" s="9">
        <v>890</v>
      </c>
      <c r="H286" s="9">
        <v>242</v>
      </c>
      <c r="I286" s="10">
        <v>46.09086</v>
      </c>
      <c r="J286" s="11">
        <v>46.07</v>
      </c>
      <c r="K286" s="12">
        <f t="shared" si="28"/>
        <v>0.271910112359551</v>
      </c>
      <c r="L286" s="13">
        <f t="shared" si="29"/>
        <v>51.7874831460674</v>
      </c>
      <c r="M286" s="13">
        <f t="shared" si="30"/>
        <v>0.190458099173554</v>
      </c>
      <c r="N286" s="11">
        <v>0</v>
      </c>
      <c r="O286" s="11">
        <v>0</v>
      </c>
      <c r="P286" s="11">
        <v>38.1</v>
      </c>
      <c r="Q286" s="13">
        <f t="shared" si="31"/>
        <v>0.826628099367206</v>
      </c>
      <c r="R286" s="11">
        <v>38.1</v>
      </c>
      <c r="S286" s="13">
        <f t="shared" si="32"/>
        <v>0.826628099367206</v>
      </c>
      <c r="T286" s="9">
        <v>345</v>
      </c>
      <c r="U286" s="13">
        <f t="shared" si="33"/>
        <v>7.48521507301014</v>
      </c>
      <c r="V286" s="12">
        <f t="shared" si="34"/>
        <v>0.387640449438202</v>
      </c>
      <c r="W286" s="17">
        <f>COUNTIFS(源数据[日期],源数据[[#This Row],[日期]],源数据[账号id],源数据[[#This Row],[账号id]])</f>
        <v>1</v>
      </c>
      <c r="X286" s="15">
        <f>IFERROR(源数据[[#This Row],[点击量]]/源数据[[#This Row],[展示量]],"")</f>
        <v>0.271910112359551</v>
      </c>
      <c r="Y286" s="16">
        <f>IFERROR(源数据[[#This Row],[播放量]]/源数据[[#This Row],[展示量]],"")</f>
        <v>0.387640449438202</v>
      </c>
      <c r="Z286" s="16">
        <f>IFERROR(源数据[[#This Row],[三连投放总消耗(毫分)]]/源数据[[#This Row],[播放量]],"")</f>
        <v>0.133596695652174</v>
      </c>
      <c r="AA28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87" s="2" customFormat="1" spans="1:27">
      <c r="A287" s="7">
        <v>46204</v>
      </c>
      <c r="B287" s="8" t="s">
        <v>668</v>
      </c>
      <c r="C287" s="8" t="s">
        <v>669</v>
      </c>
      <c r="D287" s="8" t="s">
        <v>91</v>
      </c>
      <c r="E287" s="8" t="s">
        <v>92</v>
      </c>
      <c r="F287" s="8" t="s">
        <v>115</v>
      </c>
      <c r="G287" s="9">
        <v>4651</v>
      </c>
      <c r="H287" s="9">
        <v>300</v>
      </c>
      <c r="I287" s="10">
        <v>44.48665</v>
      </c>
      <c r="J287" s="11">
        <v>44.39</v>
      </c>
      <c r="K287" s="12">
        <f t="shared" si="28"/>
        <v>0.0645022575790153</v>
      </c>
      <c r="L287" s="13">
        <f t="shared" si="29"/>
        <v>9.56496452375833</v>
      </c>
      <c r="M287" s="13">
        <f t="shared" si="30"/>
        <v>0.148288833333333</v>
      </c>
      <c r="N287" s="11">
        <v>0</v>
      </c>
      <c r="O287" s="11">
        <v>0</v>
      </c>
      <c r="P287" s="11">
        <v>43.65</v>
      </c>
      <c r="Q287" s="13">
        <f t="shared" si="31"/>
        <v>0.981193234374807</v>
      </c>
      <c r="R287" s="11">
        <v>43.65</v>
      </c>
      <c r="S287" s="13">
        <f t="shared" si="32"/>
        <v>0.981193234374807</v>
      </c>
      <c r="T287" s="9">
        <v>852</v>
      </c>
      <c r="U287" s="13">
        <f t="shared" si="33"/>
        <v>19.1518129596182</v>
      </c>
      <c r="V287" s="12">
        <f t="shared" si="34"/>
        <v>0.183186411524403</v>
      </c>
      <c r="W287" s="17">
        <f>COUNTIFS(源数据[日期],源数据[[#This Row],[日期]],源数据[账号id],源数据[[#This Row],[账号id]])</f>
        <v>1</v>
      </c>
      <c r="X287" s="15">
        <f>IFERROR(源数据[[#This Row],[点击量]]/源数据[[#This Row],[展示量]],"")</f>
        <v>0.0645022575790153</v>
      </c>
      <c r="Y287" s="16">
        <f>IFERROR(源数据[[#This Row],[播放量]]/源数据[[#This Row],[展示量]],"")</f>
        <v>0.183186411524403</v>
      </c>
      <c r="Z287" s="16">
        <f>IFERROR(源数据[[#This Row],[三连投放总消耗(毫分)]]/源数据[[#This Row],[播放量]],"")</f>
        <v>0.0522143779342723</v>
      </c>
      <c r="AA28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88" s="2" customFormat="1" spans="1:27">
      <c r="A288" s="7">
        <v>46204</v>
      </c>
      <c r="B288" s="8" t="s">
        <v>670</v>
      </c>
      <c r="C288" s="8" t="s">
        <v>671</v>
      </c>
      <c r="D288" s="8" t="s">
        <v>91</v>
      </c>
      <c r="E288" s="8" t="s">
        <v>92</v>
      </c>
      <c r="F288" s="8" t="s">
        <v>152</v>
      </c>
      <c r="G288" s="9">
        <v>1062</v>
      </c>
      <c r="H288" s="9">
        <v>1030</v>
      </c>
      <c r="I288" s="10">
        <v>43.36249</v>
      </c>
      <c r="J288" s="11">
        <v>43.35</v>
      </c>
      <c r="K288" s="12">
        <f t="shared" si="28"/>
        <v>0.969868173258004</v>
      </c>
      <c r="L288" s="13">
        <f t="shared" si="29"/>
        <v>40.8309698681733</v>
      </c>
      <c r="M288" s="13">
        <f t="shared" si="30"/>
        <v>0.0420995048543689</v>
      </c>
      <c r="N288" s="11">
        <v>0</v>
      </c>
      <c r="O288" s="11">
        <v>0</v>
      </c>
      <c r="P288" s="11">
        <v>21.94</v>
      </c>
      <c r="Q288" s="13">
        <f t="shared" si="31"/>
        <v>0.505967254186741</v>
      </c>
      <c r="R288" s="11">
        <v>21.94</v>
      </c>
      <c r="S288" s="13">
        <f t="shared" si="32"/>
        <v>0.505967254186741</v>
      </c>
      <c r="T288" s="9">
        <v>143</v>
      </c>
      <c r="U288" s="13">
        <f t="shared" si="33"/>
        <v>3.29778110067019</v>
      </c>
      <c r="V288" s="12">
        <f t="shared" si="34"/>
        <v>0.134651600753296</v>
      </c>
      <c r="W288" s="17">
        <f>COUNTIFS(源数据[日期],源数据[[#This Row],[日期]],源数据[账号id],源数据[[#This Row],[账号id]])</f>
        <v>1</v>
      </c>
      <c r="X288" s="15">
        <f>IFERROR(源数据[[#This Row],[点击量]]/源数据[[#This Row],[展示量]],"")</f>
        <v>0.969868173258004</v>
      </c>
      <c r="Y288" s="16">
        <f>IFERROR(源数据[[#This Row],[播放量]]/源数据[[#This Row],[展示量]],"")</f>
        <v>0.134651600753296</v>
      </c>
      <c r="Z288" s="16">
        <f>IFERROR(源数据[[#This Row],[三连投放总消耗(毫分)]]/源数据[[#This Row],[播放量]],"")</f>
        <v>0.303234195804196</v>
      </c>
      <c r="AA28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89" s="2" customFormat="1" spans="1:27">
      <c r="A289" s="7">
        <v>46204</v>
      </c>
      <c r="B289" s="8" t="s">
        <v>672</v>
      </c>
      <c r="C289" s="8" t="s">
        <v>673</v>
      </c>
      <c r="D289" s="8" t="s">
        <v>91</v>
      </c>
      <c r="E289" s="8" t="s">
        <v>92</v>
      </c>
      <c r="F289" s="8" t="s">
        <v>152</v>
      </c>
      <c r="G289" s="9">
        <v>2132</v>
      </c>
      <c r="H289" s="9">
        <v>289</v>
      </c>
      <c r="I289" s="10">
        <v>43.03074</v>
      </c>
      <c r="J289" s="11">
        <v>43</v>
      </c>
      <c r="K289" s="12">
        <f t="shared" si="28"/>
        <v>0.135553470919325</v>
      </c>
      <c r="L289" s="13">
        <f t="shared" si="29"/>
        <v>20.1832739212008</v>
      </c>
      <c r="M289" s="13">
        <f t="shared" si="30"/>
        <v>0.148895294117647</v>
      </c>
      <c r="N289" s="11">
        <v>0</v>
      </c>
      <c r="O289" s="11">
        <v>0</v>
      </c>
      <c r="P289" s="11">
        <v>29.41</v>
      </c>
      <c r="Q289" s="13">
        <f t="shared" si="31"/>
        <v>0.683464890448084</v>
      </c>
      <c r="R289" s="11">
        <v>29.41</v>
      </c>
      <c r="S289" s="13">
        <f t="shared" si="32"/>
        <v>0.683464890448084</v>
      </c>
      <c r="T289" s="9">
        <v>756</v>
      </c>
      <c r="U289" s="13">
        <f t="shared" si="33"/>
        <v>17.568835674218</v>
      </c>
      <c r="V289" s="12">
        <f t="shared" si="34"/>
        <v>0.354596622889306</v>
      </c>
      <c r="W289" s="17">
        <f>COUNTIFS(源数据[日期],源数据[[#This Row],[日期]],源数据[账号id],源数据[[#This Row],[账号id]])</f>
        <v>1</v>
      </c>
      <c r="X289" s="15">
        <f>IFERROR(源数据[[#This Row],[点击量]]/源数据[[#This Row],[展示量]],"")</f>
        <v>0.135553470919325</v>
      </c>
      <c r="Y289" s="16">
        <f>IFERROR(源数据[[#This Row],[播放量]]/源数据[[#This Row],[展示量]],"")</f>
        <v>0.354596622889306</v>
      </c>
      <c r="Z289" s="16">
        <f>IFERROR(源数据[[#This Row],[三连投放总消耗(毫分)]]/源数据[[#This Row],[播放量]],"")</f>
        <v>0.0569189682539683</v>
      </c>
      <c r="AA28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90" s="2" customFormat="1" spans="1:27">
      <c r="A290" s="7">
        <v>46204</v>
      </c>
      <c r="B290" s="8" t="s">
        <v>674</v>
      </c>
      <c r="C290" s="8" t="s">
        <v>675</v>
      </c>
      <c r="D290" s="8" t="s">
        <v>91</v>
      </c>
      <c r="E290" s="8" t="s">
        <v>92</v>
      </c>
      <c r="F290" s="8" t="s">
        <v>96</v>
      </c>
      <c r="G290" s="9">
        <v>9945</v>
      </c>
      <c r="H290" s="9">
        <v>500</v>
      </c>
      <c r="I290" s="10">
        <v>42.38822</v>
      </c>
      <c r="J290" s="11">
        <v>42.32</v>
      </c>
      <c r="K290" s="12">
        <f t="shared" si="28"/>
        <v>0.0502765208647562</v>
      </c>
      <c r="L290" s="13">
        <f t="shared" si="29"/>
        <v>4.26226445449975</v>
      </c>
      <c r="M290" s="13">
        <f t="shared" si="30"/>
        <v>0.08477644</v>
      </c>
      <c r="N290" s="11">
        <v>0</v>
      </c>
      <c r="O290" s="11">
        <v>0</v>
      </c>
      <c r="P290" s="11">
        <v>37.42</v>
      </c>
      <c r="Q290" s="13">
        <f t="shared" si="31"/>
        <v>0.882792436200435</v>
      </c>
      <c r="R290" s="11">
        <v>37.42</v>
      </c>
      <c r="S290" s="13">
        <f t="shared" si="32"/>
        <v>0.882792436200435</v>
      </c>
      <c r="T290" s="9">
        <v>1065</v>
      </c>
      <c r="U290" s="13">
        <f t="shared" si="33"/>
        <v>25.1249049853945</v>
      </c>
      <c r="V290" s="12">
        <f t="shared" si="34"/>
        <v>0.107088989441931</v>
      </c>
      <c r="W290" s="17">
        <f>COUNTIFS(源数据[日期],源数据[[#This Row],[日期]],源数据[账号id],源数据[[#This Row],[账号id]])</f>
        <v>1</v>
      </c>
      <c r="X290" s="15">
        <f>IFERROR(源数据[[#This Row],[点击量]]/源数据[[#This Row],[展示量]],"")</f>
        <v>0.0502765208647562</v>
      </c>
      <c r="Y290" s="16">
        <f>IFERROR(源数据[[#This Row],[播放量]]/源数据[[#This Row],[展示量]],"")</f>
        <v>0.107088989441931</v>
      </c>
      <c r="Z290" s="16">
        <f>IFERROR(源数据[[#This Row],[三连投放总消耗(毫分)]]/源数据[[#This Row],[播放量]],"")</f>
        <v>0.0398011455399061</v>
      </c>
      <c r="AA29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91" s="2" customFormat="1" spans="1:27">
      <c r="A291" s="7">
        <v>46204</v>
      </c>
      <c r="B291" s="8" t="s">
        <v>676</v>
      </c>
      <c r="C291" s="8" t="s">
        <v>677</v>
      </c>
      <c r="D291" s="8" t="s">
        <v>91</v>
      </c>
      <c r="E291" s="8" t="s">
        <v>92</v>
      </c>
      <c r="F291" s="8" t="s">
        <v>93</v>
      </c>
      <c r="G291" s="9">
        <v>3084</v>
      </c>
      <c r="H291" s="9">
        <v>231</v>
      </c>
      <c r="I291" s="10">
        <v>40.62916</v>
      </c>
      <c r="J291" s="11">
        <v>40.52</v>
      </c>
      <c r="K291" s="12">
        <f t="shared" si="28"/>
        <v>0.0749027237354086</v>
      </c>
      <c r="L291" s="13">
        <f t="shared" si="29"/>
        <v>13.1741763942931</v>
      </c>
      <c r="M291" s="13">
        <f t="shared" si="30"/>
        <v>0.17588380952381</v>
      </c>
      <c r="N291" s="11">
        <v>0</v>
      </c>
      <c r="O291" s="11">
        <v>0</v>
      </c>
      <c r="P291" s="11">
        <v>39.14</v>
      </c>
      <c r="Q291" s="13">
        <f t="shared" si="31"/>
        <v>0.963347507061431</v>
      </c>
      <c r="R291" s="11">
        <v>39.14</v>
      </c>
      <c r="S291" s="13">
        <f t="shared" si="32"/>
        <v>0.963347507061431</v>
      </c>
      <c r="T291" s="9">
        <v>739</v>
      </c>
      <c r="U291" s="13">
        <f t="shared" si="33"/>
        <v>18.1889066867245</v>
      </c>
      <c r="V291" s="12">
        <f t="shared" si="34"/>
        <v>0.239623865110246</v>
      </c>
      <c r="W291" s="17">
        <f>COUNTIFS(源数据[日期],源数据[[#This Row],[日期]],源数据[账号id],源数据[[#This Row],[账号id]])</f>
        <v>1</v>
      </c>
      <c r="X291" s="15">
        <f>IFERROR(源数据[[#This Row],[点击量]]/源数据[[#This Row],[展示量]],"")</f>
        <v>0.0749027237354086</v>
      </c>
      <c r="Y291" s="16">
        <f>IFERROR(源数据[[#This Row],[播放量]]/源数据[[#This Row],[展示量]],"")</f>
        <v>0.239623865110246</v>
      </c>
      <c r="Z291" s="16">
        <f>IFERROR(源数据[[#This Row],[三连投放总消耗(毫分)]]/源数据[[#This Row],[播放量]],"")</f>
        <v>0.0549785656292287</v>
      </c>
      <c r="AA29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92" s="2" customFormat="1" spans="1:27">
      <c r="A292" s="7">
        <v>46204</v>
      </c>
      <c r="B292" s="8" t="s">
        <v>678</v>
      </c>
      <c r="C292" s="8" t="s">
        <v>679</v>
      </c>
      <c r="D292" s="8" t="s">
        <v>91</v>
      </c>
      <c r="E292" s="8" t="s">
        <v>92</v>
      </c>
      <c r="F292" s="8" t="s">
        <v>101</v>
      </c>
      <c r="G292" s="9">
        <v>8601</v>
      </c>
      <c r="H292" s="9">
        <v>149</v>
      </c>
      <c r="I292" s="10">
        <v>40.50663</v>
      </c>
      <c r="J292" s="11">
        <v>40.42</v>
      </c>
      <c r="K292" s="12">
        <f t="shared" si="28"/>
        <v>0.0173235670270899</v>
      </c>
      <c r="L292" s="13">
        <f t="shared" si="29"/>
        <v>4.70952563655389</v>
      </c>
      <c r="M292" s="13">
        <f t="shared" si="30"/>
        <v>0.271856577181208</v>
      </c>
      <c r="N292" s="11">
        <v>0</v>
      </c>
      <c r="O292" s="11">
        <v>0</v>
      </c>
      <c r="P292" s="11">
        <v>40.08</v>
      </c>
      <c r="Q292" s="13">
        <f t="shared" si="31"/>
        <v>0.989467650110611</v>
      </c>
      <c r="R292" s="11">
        <v>40.08</v>
      </c>
      <c r="S292" s="13">
        <f t="shared" si="32"/>
        <v>0.989467650110611</v>
      </c>
      <c r="T292" s="9">
        <v>2017</v>
      </c>
      <c r="U292" s="13">
        <f t="shared" si="33"/>
        <v>49.7943176215844</v>
      </c>
      <c r="V292" s="12">
        <f t="shared" si="34"/>
        <v>0.234507615393559</v>
      </c>
      <c r="W292" s="17">
        <f>COUNTIFS(源数据[日期],源数据[[#This Row],[日期]],源数据[账号id],源数据[[#This Row],[账号id]])</f>
        <v>1</v>
      </c>
      <c r="X292" s="15">
        <f>IFERROR(源数据[[#This Row],[点击量]]/源数据[[#This Row],[展示量]],"")</f>
        <v>0.0173235670270899</v>
      </c>
      <c r="Y292" s="16">
        <f>IFERROR(源数据[[#This Row],[播放量]]/源数据[[#This Row],[展示量]],"")</f>
        <v>0.234507615393559</v>
      </c>
      <c r="Z292" s="16">
        <f>IFERROR(源数据[[#This Row],[三连投放总消耗(毫分)]]/源数据[[#This Row],[播放量]],"")</f>
        <v>0.0200826127912742</v>
      </c>
      <c r="AA29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93" s="2" customFormat="1" spans="1:27">
      <c r="A293" s="7">
        <v>46204</v>
      </c>
      <c r="B293" s="8" t="s">
        <v>680</v>
      </c>
      <c r="C293" s="8" t="s">
        <v>681</v>
      </c>
      <c r="D293" s="8" t="s">
        <v>91</v>
      </c>
      <c r="E293" s="8" t="s">
        <v>92</v>
      </c>
      <c r="F293" s="8" t="s">
        <v>115</v>
      </c>
      <c r="G293" s="9">
        <v>6398</v>
      </c>
      <c r="H293" s="9">
        <v>172</v>
      </c>
      <c r="I293" s="10">
        <v>39.19503</v>
      </c>
      <c r="J293" s="11">
        <v>39.13</v>
      </c>
      <c r="K293" s="12">
        <f t="shared" si="28"/>
        <v>0.0268834010628321</v>
      </c>
      <c r="L293" s="13">
        <f t="shared" si="29"/>
        <v>6.12613785557987</v>
      </c>
      <c r="M293" s="13">
        <f t="shared" si="30"/>
        <v>0.227878081395349</v>
      </c>
      <c r="N293" s="11">
        <v>0</v>
      </c>
      <c r="O293" s="11">
        <v>0</v>
      </c>
      <c r="P293" s="11">
        <v>42.12</v>
      </c>
      <c r="Q293" s="13">
        <f t="shared" si="31"/>
        <v>1.07462604314884</v>
      </c>
      <c r="R293" s="11">
        <v>42.12</v>
      </c>
      <c r="S293" s="13">
        <f t="shared" si="32"/>
        <v>1.07462604314884</v>
      </c>
      <c r="T293" s="9">
        <v>624</v>
      </c>
      <c r="U293" s="13">
        <f t="shared" si="33"/>
        <v>15.9203858244272</v>
      </c>
      <c r="V293" s="12">
        <f t="shared" si="34"/>
        <v>0.0975304782744608</v>
      </c>
      <c r="W293" s="17">
        <f>COUNTIFS(源数据[日期],源数据[[#This Row],[日期]],源数据[账号id],源数据[[#This Row],[账号id]])</f>
        <v>1</v>
      </c>
      <c r="X293" s="15">
        <f>IFERROR(源数据[[#This Row],[点击量]]/源数据[[#This Row],[展示量]],"")</f>
        <v>0.0268834010628321</v>
      </c>
      <c r="Y293" s="16">
        <f>IFERROR(源数据[[#This Row],[播放量]]/源数据[[#This Row],[展示量]],"")</f>
        <v>0.0975304782744608</v>
      </c>
      <c r="Z293" s="16">
        <f>IFERROR(源数据[[#This Row],[三连投放总消耗(毫分)]]/源数据[[#This Row],[播放量]],"")</f>
        <v>0.0628125480769231</v>
      </c>
      <c r="AA29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94" s="2" customFormat="1" spans="1:27">
      <c r="A294" s="7">
        <v>46204</v>
      </c>
      <c r="B294" s="8" t="s">
        <v>682</v>
      </c>
      <c r="C294" s="8" t="s">
        <v>683</v>
      </c>
      <c r="D294" s="8" t="s">
        <v>91</v>
      </c>
      <c r="E294" s="8" t="s">
        <v>92</v>
      </c>
      <c r="F294" s="8" t="s">
        <v>96</v>
      </c>
      <c r="G294" s="9">
        <v>3210</v>
      </c>
      <c r="H294" s="9">
        <v>102</v>
      </c>
      <c r="I294" s="10">
        <v>34.96459</v>
      </c>
      <c r="J294" s="11">
        <v>34.95</v>
      </c>
      <c r="K294" s="12">
        <f t="shared" si="28"/>
        <v>0.0317757009345794</v>
      </c>
      <c r="L294" s="13">
        <f t="shared" si="29"/>
        <v>10.8923956386293</v>
      </c>
      <c r="M294" s="13">
        <f t="shared" si="30"/>
        <v>0.342790098039216</v>
      </c>
      <c r="N294" s="11">
        <v>0</v>
      </c>
      <c r="O294" s="11">
        <v>0</v>
      </c>
      <c r="P294" s="11">
        <v>30.5</v>
      </c>
      <c r="Q294" s="13">
        <f t="shared" si="31"/>
        <v>0.872311101031072</v>
      </c>
      <c r="R294" s="11">
        <v>30.5</v>
      </c>
      <c r="S294" s="13">
        <f t="shared" si="32"/>
        <v>0.872311101031072</v>
      </c>
      <c r="T294" s="9">
        <v>639</v>
      </c>
      <c r="U294" s="13">
        <f t="shared" si="33"/>
        <v>18.2756325757002</v>
      </c>
      <c r="V294" s="12">
        <f t="shared" si="34"/>
        <v>0.199065420560748</v>
      </c>
      <c r="W294" s="17">
        <f>COUNTIFS(源数据[日期],源数据[[#This Row],[日期]],源数据[账号id],源数据[[#This Row],[账号id]])</f>
        <v>1</v>
      </c>
      <c r="X294" s="15">
        <f>IFERROR(源数据[[#This Row],[点击量]]/源数据[[#This Row],[展示量]],"")</f>
        <v>0.0317757009345794</v>
      </c>
      <c r="Y294" s="16">
        <f>IFERROR(源数据[[#This Row],[播放量]]/源数据[[#This Row],[展示量]],"")</f>
        <v>0.199065420560748</v>
      </c>
      <c r="Z294" s="16">
        <f>IFERROR(源数据[[#This Row],[三连投放总消耗(毫分)]]/源数据[[#This Row],[播放量]],"")</f>
        <v>0.0547176682316119</v>
      </c>
      <c r="AA29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95" s="2" customFormat="1" spans="1:27">
      <c r="A295" s="7">
        <v>46204</v>
      </c>
      <c r="B295" s="8" t="s">
        <v>684</v>
      </c>
      <c r="C295" s="8" t="s">
        <v>685</v>
      </c>
      <c r="D295" s="8" t="s">
        <v>91</v>
      </c>
      <c r="E295" s="8" t="s">
        <v>92</v>
      </c>
      <c r="F295" s="8" t="s">
        <v>115</v>
      </c>
      <c r="G295" s="9">
        <v>2222</v>
      </c>
      <c r="H295" s="9">
        <v>105</v>
      </c>
      <c r="I295" s="10">
        <v>33.4602</v>
      </c>
      <c r="J295" s="11">
        <v>33.39</v>
      </c>
      <c r="K295" s="12">
        <f t="shared" si="28"/>
        <v>0.0472547254725473</v>
      </c>
      <c r="L295" s="13">
        <f t="shared" si="29"/>
        <v>15.058595859586</v>
      </c>
      <c r="M295" s="13">
        <f t="shared" si="30"/>
        <v>0.318668571428571</v>
      </c>
      <c r="N295" s="11">
        <v>0</v>
      </c>
      <c r="O295" s="11">
        <v>0</v>
      </c>
      <c r="P295" s="11">
        <v>26.13</v>
      </c>
      <c r="Q295" s="13">
        <f t="shared" si="31"/>
        <v>0.780927788835691</v>
      </c>
      <c r="R295" s="11">
        <v>26.13</v>
      </c>
      <c r="S295" s="13">
        <f t="shared" si="32"/>
        <v>0.780927788835691</v>
      </c>
      <c r="T295" s="9">
        <v>672</v>
      </c>
      <c r="U295" s="13">
        <f t="shared" si="33"/>
        <v>20.0835619631682</v>
      </c>
      <c r="V295" s="12">
        <f t="shared" si="34"/>
        <v>0.302430243024302</v>
      </c>
      <c r="W295" s="17">
        <f>COUNTIFS(源数据[日期],源数据[[#This Row],[日期]],源数据[账号id],源数据[[#This Row],[账号id]])</f>
        <v>1</v>
      </c>
      <c r="X295" s="15">
        <f>IFERROR(源数据[[#This Row],[点击量]]/源数据[[#This Row],[展示量]],"")</f>
        <v>0.0472547254725473</v>
      </c>
      <c r="Y295" s="16">
        <f>IFERROR(源数据[[#This Row],[播放量]]/源数据[[#This Row],[展示量]],"")</f>
        <v>0.302430243024302</v>
      </c>
      <c r="Z295" s="16">
        <f>IFERROR(源数据[[#This Row],[三连投放总消耗(毫分)]]/源数据[[#This Row],[播放量]],"")</f>
        <v>0.0497919642857143</v>
      </c>
      <c r="AA29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96" s="2" customFormat="1" spans="1:27">
      <c r="A296" s="7">
        <v>46204</v>
      </c>
      <c r="B296" s="8" t="s">
        <v>686</v>
      </c>
      <c r="C296" s="8" t="s">
        <v>687</v>
      </c>
      <c r="D296" s="8" t="s">
        <v>91</v>
      </c>
      <c r="E296" s="8" t="s">
        <v>92</v>
      </c>
      <c r="F296" s="8" t="s">
        <v>93</v>
      </c>
      <c r="G296" s="9">
        <v>2550</v>
      </c>
      <c r="H296" s="9">
        <v>214</v>
      </c>
      <c r="I296" s="10">
        <v>33.15871</v>
      </c>
      <c r="J296" s="11">
        <v>33.07</v>
      </c>
      <c r="K296" s="12">
        <f t="shared" si="28"/>
        <v>0.083921568627451</v>
      </c>
      <c r="L296" s="13">
        <f t="shared" si="29"/>
        <v>13.0034156862745</v>
      </c>
      <c r="M296" s="13">
        <f t="shared" si="30"/>
        <v>0.154947242990654</v>
      </c>
      <c r="N296" s="11">
        <v>0</v>
      </c>
      <c r="O296" s="11">
        <v>0</v>
      </c>
      <c r="P296" s="11">
        <v>35.93</v>
      </c>
      <c r="Q296" s="13">
        <f t="shared" si="31"/>
        <v>1.08357653238018</v>
      </c>
      <c r="R296" s="11">
        <v>35.93</v>
      </c>
      <c r="S296" s="13">
        <f t="shared" si="32"/>
        <v>1.08357653238018</v>
      </c>
      <c r="T296" s="9">
        <v>678</v>
      </c>
      <c r="U296" s="13">
        <f t="shared" si="33"/>
        <v>20.4471163082038</v>
      </c>
      <c r="V296" s="12">
        <f t="shared" si="34"/>
        <v>0.265882352941176</v>
      </c>
      <c r="W296" s="17">
        <f>COUNTIFS(源数据[日期],源数据[[#This Row],[日期]],源数据[账号id],源数据[[#This Row],[账号id]])</f>
        <v>1</v>
      </c>
      <c r="X296" s="15">
        <f>IFERROR(源数据[[#This Row],[点击量]]/源数据[[#This Row],[展示量]],"")</f>
        <v>0.083921568627451</v>
      </c>
      <c r="Y296" s="16">
        <f>IFERROR(源数据[[#This Row],[播放量]]/源数据[[#This Row],[展示量]],"")</f>
        <v>0.265882352941176</v>
      </c>
      <c r="Z296" s="16">
        <f>IFERROR(源数据[[#This Row],[三连投放总消耗(毫分)]]/源数据[[#This Row],[播放量]],"")</f>
        <v>0.0489066519174041</v>
      </c>
      <c r="AA29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97" s="2" customFormat="1" spans="1:27">
      <c r="A297" s="7">
        <v>46204</v>
      </c>
      <c r="B297" s="8" t="s">
        <v>688</v>
      </c>
      <c r="C297" s="8" t="s">
        <v>689</v>
      </c>
      <c r="D297" s="8" t="s">
        <v>91</v>
      </c>
      <c r="E297" s="8" t="s">
        <v>92</v>
      </c>
      <c r="F297" s="8" t="s">
        <v>96</v>
      </c>
      <c r="G297" s="9">
        <v>2053</v>
      </c>
      <c r="H297" s="9">
        <v>78</v>
      </c>
      <c r="I297" s="10">
        <v>30.26452</v>
      </c>
      <c r="J297" s="11">
        <v>30.26</v>
      </c>
      <c r="K297" s="12">
        <f t="shared" si="28"/>
        <v>0.0379931807111544</v>
      </c>
      <c r="L297" s="13">
        <f t="shared" si="29"/>
        <v>14.7416074037993</v>
      </c>
      <c r="M297" s="13">
        <f t="shared" si="30"/>
        <v>0.388006666666667</v>
      </c>
      <c r="N297" s="11">
        <v>0</v>
      </c>
      <c r="O297" s="11">
        <v>0</v>
      </c>
      <c r="P297" s="11">
        <v>29.88</v>
      </c>
      <c r="Q297" s="13">
        <f t="shared" si="31"/>
        <v>0.9872946935884</v>
      </c>
      <c r="R297" s="11">
        <v>29.88</v>
      </c>
      <c r="S297" s="13">
        <f t="shared" si="32"/>
        <v>0.9872946935884</v>
      </c>
      <c r="T297" s="9">
        <v>396</v>
      </c>
      <c r="U297" s="13">
        <f t="shared" si="33"/>
        <v>13.0846284692439</v>
      </c>
      <c r="V297" s="12">
        <f t="shared" si="34"/>
        <v>0.192888455918169</v>
      </c>
      <c r="W297" s="17">
        <f>COUNTIFS(源数据[日期],源数据[[#This Row],[日期]],源数据[账号id],源数据[[#This Row],[账号id]])</f>
        <v>1</v>
      </c>
      <c r="X297" s="15">
        <f>IFERROR(源数据[[#This Row],[点击量]]/源数据[[#This Row],[展示量]],"")</f>
        <v>0.0379931807111544</v>
      </c>
      <c r="Y297" s="16">
        <f>IFERROR(源数据[[#This Row],[播放量]]/源数据[[#This Row],[展示量]],"")</f>
        <v>0.192888455918169</v>
      </c>
      <c r="Z297" s="16">
        <f>IFERROR(源数据[[#This Row],[三连投放总消耗(毫分)]]/源数据[[#This Row],[播放量]],"")</f>
        <v>0.0764255555555556</v>
      </c>
      <c r="AA29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98" s="2" customFormat="1" spans="1:27">
      <c r="A298" s="7">
        <v>46204</v>
      </c>
      <c r="B298" s="8" t="s">
        <v>690</v>
      </c>
      <c r="C298" s="8" t="s">
        <v>691</v>
      </c>
      <c r="D298" s="8" t="s">
        <v>91</v>
      </c>
      <c r="E298" s="8" t="s">
        <v>92</v>
      </c>
      <c r="F298" s="8" t="s">
        <v>96</v>
      </c>
      <c r="G298" s="9">
        <v>5766</v>
      </c>
      <c r="H298" s="9">
        <v>132</v>
      </c>
      <c r="I298" s="10">
        <v>29.32218</v>
      </c>
      <c r="J298" s="11">
        <v>29.28</v>
      </c>
      <c r="K298" s="12">
        <f t="shared" si="28"/>
        <v>0.0228928199791883</v>
      </c>
      <c r="L298" s="13">
        <f t="shared" si="29"/>
        <v>5.08535900104058</v>
      </c>
      <c r="M298" s="13">
        <f t="shared" si="30"/>
        <v>0.222137727272727</v>
      </c>
      <c r="N298" s="11">
        <v>0</v>
      </c>
      <c r="O298" s="11">
        <v>0</v>
      </c>
      <c r="P298" s="11">
        <v>24.17</v>
      </c>
      <c r="Q298" s="13">
        <f t="shared" si="31"/>
        <v>0.824290690528467</v>
      </c>
      <c r="R298" s="11">
        <v>24.17</v>
      </c>
      <c r="S298" s="13">
        <f t="shared" si="32"/>
        <v>0.824290690528467</v>
      </c>
      <c r="T298" s="9">
        <v>1284</v>
      </c>
      <c r="U298" s="13">
        <f t="shared" si="33"/>
        <v>43.78937718819</v>
      </c>
      <c r="V298" s="12">
        <f t="shared" si="34"/>
        <v>0.222684703433923</v>
      </c>
      <c r="W298" s="17">
        <f>COUNTIFS(源数据[日期],源数据[[#This Row],[日期]],源数据[账号id],源数据[[#This Row],[账号id]])</f>
        <v>1</v>
      </c>
      <c r="X298" s="15">
        <f>IFERROR(源数据[[#This Row],[点击量]]/源数据[[#This Row],[展示量]],"")</f>
        <v>0.0228928199791883</v>
      </c>
      <c r="Y298" s="16">
        <f>IFERROR(源数据[[#This Row],[播放量]]/源数据[[#This Row],[展示量]],"")</f>
        <v>0.222684703433923</v>
      </c>
      <c r="Z298" s="16">
        <f>IFERROR(源数据[[#This Row],[三连投放总消耗(毫分)]]/源数据[[#This Row],[播放量]],"")</f>
        <v>0.0228365887850467</v>
      </c>
      <c r="AA29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299" s="2" customFormat="1" spans="1:27">
      <c r="A299" s="7">
        <v>46204</v>
      </c>
      <c r="B299" s="8" t="s">
        <v>692</v>
      </c>
      <c r="C299" s="8" t="s">
        <v>693</v>
      </c>
      <c r="D299" s="8" t="s">
        <v>91</v>
      </c>
      <c r="E299" s="8" t="s">
        <v>92</v>
      </c>
      <c r="F299" s="8" t="s">
        <v>152</v>
      </c>
      <c r="G299" s="9">
        <v>1394</v>
      </c>
      <c r="H299" s="9">
        <v>154</v>
      </c>
      <c r="I299" s="10">
        <v>28.69485</v>
      </c>
      <c r="J299" s="11">
        <v>28.68</v>
      </c>
      <c r="K299" s="12">
        <f t="shared" si="28"/>
        <v>0.110473457675753</v>
      </c>
      <c r="L299" s="13">
        <f t="shared" si="29"/>
        <v>20.5845408895265</v>
      </c>
      <c r="M299" s="13">
        <f t="shared" si="30"/>
        <v>0.186330194805195</v>
      </c>
      <c r="N299" s="11">
        <v>0</v>
      </c>
      <c r="O299" s="11">
        <v>0</v>
      </c>
      <c r="P299" s="11">
        <v>15.03</v>
      </c>
      <c r="Q299" s="13">
        <f t="shared" si="31"/>
        <v>0.523787369510557</v>
      </c>
      <c r="R299" s="11">
        <v>15.03</v>
      </c>
      <c r="S299" s="13">
        <f t="shared" si="32"/>
        <v>0.523787369510557</v>
      </c>
      <c r="T299" s="9">
        <v>383</v>
      </c>
      <c r="U299" s="13">
        <f t="shared" si="33"/>
        <v>13.3473428158711</v>
      </c>
      <c r="V299" s="12">
        <f t="shared" si="34"/>
        <v>0.274748923959828</v>
      </c>
      <c r="W299" s="17">
        <f>COUNTIFS(源数据[日期],源数据[[#This Row],[日期]],源数据[账号id],源数据[[#This Row],[账号id]])</f>
        <v>1</v>
      </c>
      <c r="X299" s="15">
        <f>IFERROR(源数据[[#This Row],[点击量]]/源数据[[#This Row],[展示量]],"")</f>
        <v>0.110473457675753</v>
      </c>
      <c r="Y299" s="16">
        <f>IFERROR(源数据[[#This Row],[播放量]]/源数据[[#This Row],[展示量]],"")</f>
        <v>0.274748923959828</v>
      </c>
      <c r="Z299" s="16">
        <f>IFERROR(源数据[[#This Row],[三连投放总消耗(毫分)]]/源数据[[#This Row],[播放量]],"")</f>
        <v>0.0749212793733681</v>
      </c>
      <c r="AA29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00" s="2" customFormat="1" spans="1:27">
      <c r="A300" s="7">
        <v>46204</v>
      </c>
      <c r="B300" s="8" t="s">
        <v>694</v>
      </c>
      <c r="C300" s="8" t="s">
        <v>695</v>
      </c>
      <c r="D300" s="8" t="s">
        <v>91</v>
      </c>
      <c r="E300" s="8" t="s">
        <v>92</v>
      </c>
      <c r="F300" s="8" t="s">
        <v>93</v>
      </c>
      <c r="G300" s="9">
        <v>3952</v>
      </c>
      <c r="H300" s="9">
        <v>156</v>
      </c>
      <c r="I300" s="10">
        <v>28.40414</v>
      </c>
      <c r="J300" s="11">
        <v>28.31</v>
      </c>
      <c r="K300" s="12">
        <f t="shared" si="28"/>
        <v>0.0394736842105263</v>
      </c>
      <c r="L300" s="13">
        <f t="shared" si="29"/>
        <v>7.18728238866397</v>
      </c>
      <c r="M300" s="13">
        <f t="shared" si="30"/>
        <v>0.182077820512821</v>
      </c>
      <c r="N300" s="11">
        <v>0</v>
      </c>
      <c r="O300" s="11">
        <v>0</v>
      </c>
      <c r="P300" s="11">
        <v>25.61</v>
      </c>
      <c r="Q300" s="13">
        <f t="shared" si="31"/>
        <v>0.901629128711519</v>
      </c>
      <c r="R300" s="11">
        <v>25.61</v>
      </c>
      <c r="S300" s="13">
        <f t="shared" si="32"/>
        <v>0.901629128711519</v>
      </c>
      <c r="T300" s="9">
        <v>495</v>
      </c>
      <c r="U300" s="13">
        <f t="shared" si="33"/>
        <v>17.4270370445998</v>
      </c>
      <c r="V300" s="12">
        <f t="shared" si="34"/>
        <v>0.125253036437247</v>
      </c>
      <c r="W300" s="17">
        <f>COUNTIFS(源数据[日期],源数据[[#This Row],[日期]],源数据[账号id],源数据[[#This Row],[账号id]])</f>
        <v>1</v>
      </c>
      <c r="X300" s="15">
        <f>IFERROR(源数据[[#This Row],[点击量]]/源数据[[#This Row],[展示量]],"")</f>
        <v>0.0394736842105263</v>
      </c>
      <c r="Y300" s="16">
        <f>IFERROR(源数据[[#This Row],[播放量]]/源数据[[#This Row],[展示量]],"")</f>
        <v>0.125253036437247</v>
      </c>
      <c r="Z300" s="16">
        <f>IFERROR(源数据[[#This Row],[三连投放总消耗(毫分)]]/源数据[[#This Row],[播放量]],"")</f>
        <v>0.057382101010101</v>
      </c>
      <c r="AA30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01" s="2" customFormat="1" spans="1:27">
      <c r="A301" s="7">
        <v>46204</v>
      </c>
      <c r="B301" s="8" t="s">
        <v>696</v>
      </c>
      <c r="C301" s="8" t="s">
        <v>697</v>
      </c>
      <c r="D301" s="8" t="s">
        <v>91</v>
      </c>
      <c r="E301" s="8" t="s">
        <v>92</v>
      </c>
      <c r="F301" s="8" t="s">
        <v>115</v>
      </c>
      <c r="G301" s="9">
        <v>3459</v>
      </c>
      <c r="H301" s="9">
        <v>217</v>
      </c>
      <c r="I301" s="10">
        <v>27.58353</v>
      </c>
      <c r="J301" s="11">
        <v>27.52</v>
      </c>
      <c r="K301" s="12">
        <f t="shared" si="28"/>
        <v>0.0627348944781729</v>
      </c>
      <c r="L301" s="13">
        <f t="shared" si="29"/>
        <v>7.97442324371206</v>
      </c>
      <c r="M301" s="13">
        <f t="shared" si="30"/>
        <v>0.127113041474654</v>
      </c>
      <c r="N301" s="11">
        <v>0</v>
      </c>
      <c r="O301" s="11">
        <v>0</v>
      </c>
      <c r="P301" s="11">
        <v>26.79</v>
      </c>
      <c r="Q301" s="13">
        <f t="shared" si="31"/>
        <v>0.971231745900543</v>
      </c>
      <c r="R301" s="11">
        <v>26.79</v>
      </c>
      <c r="S301" s="13">
        <f t="shared" si="32"/>
        <v>0.971231745900543</v>
      </c>
      <c r="T301" s="9">
        <v>781</v>
      </c>
      <c r="U301" s="13">
        <f t="shared" si="33"/>
        <v>28.3139975195343</v>
      </c>
      <c r="V301" s="12">
        <f t="shared" si="34"/>
        <v>0.22578779994218</v>
      </c>
      <c r="W301" s="17">
        <f>COUNTIFS(源数据[日期],源数据[[#This Row],[日期]],源数据[账号id],源数据[[#This Row],[账号id]])</f>
        <v>1</v>
      </c>
      <c r="X301" s="15">
        <f>IFERROR(源数据[[#This Row],[点击量]]/源数据[[#This Row],[展示量]],"")</f>
        <v>0.0627348944781729</v>
      </c>
      <c r="Y301" s="16">
        <f>IFERROR(源数据[[#This Row],[播放量]]/源数据[[#This Row],[展示量]],"")</f>
        <v>0.22578779994218</v>
      </c>
      <c r="Z301" s="16">
        <f>IFERROR(源数据[[#This Row],[三连投放总消耗(毫分)]]/源数据[[#This Row],[播放量]],"")</f>
        <v>0.0353182202304737</v>
      </c>
      <c r="AA30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02" s="2" customFormat="1" spans="1:27">
      <c r="A302" s="7">
        <v>46204</v>
      </c>
      <c r="B302" s="8" t="s">
        <v>698</v>
      </c>
      <c r="C302" s="8" t="s">
        <v>699</v>
      </c>
      <c r="D302" s="8" t="s">
        <v>91</v>
      </c>
      <c r="E302" s="8" t="s">
        <v>92</v>
      </c>
      <c r="F302" s="8" t="s">
        <v>152</v>
      </c>
      <c r="G302" s="9">
        <v>263</v>
      </c>
      <c r="H302" s="9">
        <v>77</v>
      </c>
      <c r="I302" s="10">
        <v>26.83142</v>
      </c>
      <c r="J302" s="11">
        <v>26.82</v>
      </c>
      <c r="K302" s="12">
        <f t="shared" si="28"/>
        <v>0.29277566539924</v>
      </c>
      <c r="L302" s="13">
        <f t="shared" si="29"/>
        <v>102.020608365019</v>
      </c>
      <c r="M302" s="13">
        <f t="shared" si="30"/>
        <v>0.34846</v>
      </c>
      <c r="N302" s="11">
        <v>0</v>
      </c>
      <c r="O302" s="11">
        <v>0</v>
      </c>
      <c r="P302" s="11">
        <v>17.21</v>
      </c>
      <c r="Q302" s="13">
        <f t="shared" si="31"/>
        <v>0.641412195105589</v>
      </c>
      <c r="R302" s="11">
        <v>17.21</v>
      </c>
      <c r="S302" s="13">
        <f t="shared" si="32"/>
        <v>0.641412195105589</v>
      </c>
      <c r="T302" s="9">
        <v>114</v>
      </c>
      <c r="U302" s="13">
        <f t="shared" si="33"/>
        <v>4.24875015932813</v>
      </c>
      <c r="V302" s="12">
        <f t="shared" si="34"/>
        <v>0.433460076045627</v>
      </c>
      <c r="W302" s="17">
        <f>COUNTIFS(源数据[日期],源数据[[#This Row],[日期]],源数据[账号id],源数据[[#This Row],[账号id]])</f>
        <v>1</v>
      </c>
      <c r="X302" s="15">
        <f>IFERROR(源数据[[#This Row],[点击量]]/源数据[[#This Row],[展示量]],"")</f>
        <v>0.29277566539924</v>
      </c>
      <c r="Y302" s="16">
        <f>IFERROR(源数据[[#This Row],[播放量]]/源数据[[#This Row],[展示量]],"")</f>
        <v>0.433460076045627</v>
      </c>
      <c r="Z302" s="16">
        <f>IFERROR(源数据[[#This Row],[三连投放总消耗(毫分)]]/源数据[[#This Row],[播放量]],"")</f>
        <v>0.235363333333333</v>
      </c>
      <c r="AA30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03" s="2" customFormat="1" spans="1:27">
      <c r="A303" s="7">
        <v>46204</v>
      </c>
      <c r="B303" s="8" t="s">
        <v>700</v>
      </c>
      <c r="C303" s="8" t="s">
        <v>701</v>
      </c>
      <c r="D303" s="8" t="s">
        <v>91</v>
      </c>
      <c r="E303" s="8" t="s">
        <v>92</v>
      </c>
      <c r="F303" s="8" t="s">
        <v>93</v>
      </c>
      <c r="G303" s="9">
        <v>2269</v>
      </c>
      <c r="H303" s="9">
        <v>124</v>
      </c>
      <c r="I303" s="10">
        <v>25.22141</v>
      </c>
      <c r="J303" s="11">
        <v>25.19</v>
      </c>
      <c r="K303" s="12">
        <f t="shared" si="28"/>
        <v>0.0546496253856324</v>
      </c>
      <c r="L303" s="13">
        <f t="shared" si="29"/>
        <v>11.1156500661084</v>
      </c>
      <c r="M303" s="13">
        <f t="shared" si="30"/>
        <v>0.203398467741935</v>
      </c>
      <c r="N303" s="11">
        <v>0</v>
      </c>
      <c r="O303" s="11">
        <v>0</v>
      </c>
      <c r="P303" s="11">
        <v>25.08</v>
      </c>
      <c r="Q303" s="13">
        <f t="shared" si="31"/>
        <v>0.994393255571358</v>
      </c>
      <c r="R303" s="11">
        <v>25.08</v>
      </c>
      <c r="S303" s="13">
        <f t="shared" si="32"/>
        <v>0.994393255571358</v>
      </c>
      <c r="T303" s="9">
        <v>348</v>
      </c>
      <c r="U303" s="13">
        <f t="shared" si="33"/>
        <v>13.7978011538609</v>
      </c>
      <c r="V303" s="12">
        <f t="shared" si="34"/>
        <v>0.153371529308065</v>
      </c>
      <c r="W303" s="17">
        <f>COUNTIFS(源数据[日期],源数据[[#This Row],[日期]],源数据[账号id],源数据[[#This Row],[账号id]])</f>
        <v>1</v>
      </c>
      <c r="X303" s="15">
        <f>IFERROR(源数据[[#This Row],[点击量]]/源数据[[#This Row],[展示量]],"")</f>
        <v>0.0546496253856324</v>
      </c>
      <c r="Y303" s="16">
        <f>IFERROR(源数据[[#This Row],[播放量]]/源数据[[#This Row],[展示量]],"")</f>
        <v>0.153371529308065</v>
      </c>
      <c r="Z303" s="16">
        <f>IFERROR(源数据[[#This Row],[三连投放总消耗(毫分)]]/源数据[[#This Row],[播放量]],"")</f>
        <v>0.072475316091954</v>
      </c>
      <c r="AA30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04" s="2" customFormat="1" spans="1:27">
      <c r="A304" s="7">
        <v>46204</v>
      </c>
      <c r="B304" s="8" t="s">
        <v>702</v>
      </c>
      <c r="C304" s="8" t="s">
        <v>703</v>
      </c>
      <c r="D304" s="8" t="s">
        <v>91</v>
      </c>
      <c r="E304" s="8" t="s">
        <v>92</v>
      </c>
      <c r="F304" s="8" t="s">
        <v>101</v>
      </c>
      <c r="G304" s="9">
        <v>2694</v>
      </c>
      <c r="H304" s="9">
        <v>38</v>
      </c>
      <c r="I304" s="10">
        <v>23.6496</v>
      </c>
      <c r="J304" s="11">
        <v>23.57</v>
      </c>
      <c r="K304" s="12">
        <f t="shared" si="28"/>
        <v>0.014105419450631</v>
      </c>
      <c r="L304" s="13">
        <f t="shared" si="29"/>
        <v>8.77861915367483</v>
      </c>
      <c r="M304" s="13">
        <f t="shared" si="30"/>
        <v>0.622357894736842</v>
      </c>
      <c r="N304" s="11">
        <v>0</v>
      </c>
      <c r="O304" s="11">
        <v>0</v>
      </c>
      <c r="P304" s="11">
        <v>15.32</v>
      </c>
      <c r="Q304" s="13">
        <f t="shared" si="31"/>
        <v>0.647791083147284</v>
      </c>
      <c r="R304" s="11">
        <v>15.32</v>
      </c>
      <c r="S304" s="13">
        <f t="shared" si="32"/>
        <v>0.647791083147284</v>
      </c>
      <c r="T304" s="9">
        <v>557</v>
      </c>
      <c r="U304" s="13">
        <f t="shared" si="33"/>
        <v>23.5521953859685</v>
      </c>
      <c r="V304" s="12">
        <f t="shared" si="34"/>
        <v>0.206755753526355</v>
      </c>
      <c r="W304" s="17">
        <f>COUNTIFS(源数据[日期],源数据[[#This Row],[日期]],源数据[账号id],源数据[[#This Row],[账号id]])</f>
        <v>1</v>
      </c>
      <c r="X304" s="15">
        <f>IFERROR(源数据[[#This Row],[点击量]]/源数据[[#This Row],[展示量]],"")</f>
        <v>0.014105419450631</v>
      </c>
      <c r="Y304" s="16">
        <f>IFERROR(源数据[[#This Row],[播放量]]/源数据[[#This Row],[展示量]],"")</f>
        <v>0.206755753526355</v>
      </c>
      <c r="Z304" s="16">
        <f>IFERROR(源数据[[#This Row],[三连投放总消耗(毫分)]]/源数据[[#This Row],[播放量]],"")</f>
        <v>0.0424588868940754</v>
      </c>
      <c r="AA30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05" s="2" customFormat="1" spans="1:27">
      <c r="A305" s="7">
        <v>46204</v>
      </c>
      <c r="B305" s="8" t="s">
        <v>704</v>
      </c>
      <c r="C305" s="8" t="s">
        <v>705</v>
      </c>
      <c r="D305" s="8" t="s">
        <v>91</v>
      </c>
      <c r="E305" s="8" t="s">
        <v>92</v>
      </c>
      <c r="F305" s="8" t="s">
        <v>115</v>
      </c>
      <c r="G305" s="9">
        <v>2671</v>
      </c>
      <c r="H305" s="9">
        <v>133</v>
      </c>
      <c r="I305" s="10">
        <v>22.85277</v>
      </c>
      <c r="J305" s="11">
        <v>22.82</v>
      </c>
      <c r="K305" s="12">
        <f t="shared" si="28"/>
        <v>0.0497940846125047</v>
      </c>
      <c r="L305" s="13">
        <f t="shared" si="29"/>
        <v>8.55588543616623</v>
      </c>
      <c r="M305" s="13">
        <f t="shared" si="30"/>
        <v>0.171825338345865</v>
      </c>
      <c r="N305" s="11">
        <v>0</v>
      </c>
      <c r="O305" s="11">
        <v>0</v>
      </c>
      <c r="P305" s="11">
        <v>21.38</v>
      </c>
      <c r="Q305" s="13">
        <f t="shared" si="31"/>
        <v>0.935553983171405</v>
      </c>
      <c r="R305" s="11">
        <v>21.38</v>
      </c>
      <c r="S305" s="13">
        <f t="shared" si="32"/>
        <v>0.935553983171405</v>
      </c>
      <c r="T305" s="9">
        <v>472</v>
      </c>
      <c r="U305" s="13">
        <f t="shared" si="33"/>
        <v>20.6539513590694</v>
      </c>
      <c r="V305" s="12">
        <f t="shared" si="34"/>
        <v>0.176712841632347</v>
      </c>
      <c r="W305" s="17">
        <f>COUNTIFS(源数据[日期],源数据[[#This Row],[日期]],源数据[账号id],源数据[[#This Row],[账号id]])</f>
        <v>1</v>
      </c>
      <c r="X305" s="15">
        <f>IFERROR(源数据[[#This Row],[点击量]]/源数据[[#This Row],[展示量]],"")</f>
        <v>0.0497940846125047</v>
      </c>
      <c r="Y305" s="16">
        <f>IFERROR(源数据[[#This Row],[播放量]]/源数据[[#This Row],[展示量]],"")</f>
        <v>0.176712841632347</v>
      </c>
      <c r="Z305" s="16">
        <f>IFERROR(源数据[[#This Row],[三连投放总消耗(毫分)]]/源数据[[#This Row],[播放量]],"")</f>
        <v>0.0484168855932203</v>
      </c>
      <c r="AA30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06" s="2" customFormat="1" spans="1:27">
      <c r="A306" s="7">
        <v>46204</v>
      </c>
      <c r="B306" s="8" t="s">
        <v>706</v>
      </c>
      <c r="C306" s="8" t="s">
        <v>707</v>
      </c>
      <c r="D306" s="8" t="s">
        <v>91</v>
      </c>
      <c r="E306" s="8" t="s">
        <v>92</v>
      </c>
      <c r="F306" s="8" t="s">
        <v>110</v>
      </c>
      <c r="G306" s="9">
        <v>2373</v>
      </c>
      <c r="H306" s="9">
        <v>78</v>
      </c>
      <c r="I306" s="10">
        <v>21.87844</v>
      </c>
      <c r="J306" s="11">
        <v>21.86</v>
      </c>
      <c r="K306" s="12">
        <f t="shared" si="28"/>
        <v>0.0328697850821745</v>
      </c>
      <c r="L306" s="13">
        <f t="shared" si="29"/>
        <v>9.21973872734935</v>
      </c>
      <c r="M306" s="13">
        <f t="shared" si="30"/>
        <v>0.280492820512821</v>
      </c>
      <c r="N306" s="11">
        <v>0</v>
      </c>
      <c r="O306" s="11">
        <v>0</v>
      </c>
      <c r="P306" s="11">
        <v>16.76</v>
      </c>
      <c r="Q306" s="13">
        <f t="shared" si="31"/>
        <v>0.766050961585927</v>
      </c>
      <c r="R306" s="11">
        <v>16.76</v>
      </c>
      <c r="S306" s="13">
        <f t="shared" si="32"/>
        <v>0.766050961585927</v>
      </c>
      <c r="T306" s="9">
        <v>430</v>
      </c>
      <c r="U306" s="13">
        <f t="shared" si="33"/>
        <v>19.6540521170614</v>
      </c>
      <c r="V306" s="12">
        <f t="shared" si="34"/>
        <v>0.181205225453013</v>
      </c>
      <c r="W306" s="17">
        <f>COUNTIFS(源数据[日期],源数据[[#This Row],[日期]],源数据[账号id],源数据[[#This Row],[账号id]])</f>
        <v>1</v>
      </c>
      <c r="X306" s="15">
        <f>IFERROR(源数据[[#This Row],[点击量]]/源数据[[#This Row],[展示量]],"")</f>
        <v>0.0328697850821745</v>
      </c>
      <c r="Y306" s="16">
        <f>IFERROR(源数据[[#This Row],[播放量]]/源数据[[#This Row],[展示量]],"")</f>
        <v>0.181205225453013</v>
      </c>
      <c r="Z306" s="16">
        <f>IFERROR(源数据[[#This Row],[三连投放总消耗(毫分)]]/源数据[[#This Row],[播放量]],"")</f>
        <v>0.0508800930232558</v>
      </c>
      <c r="AA30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07" s="2" customFormat="1" spans="1:27">
      <c r="A307" s="7">
        <v>46204</v>
      </c>
      <c r="B307" s="8" t="s">
        <v>708</v>
      </c>
      <c r="C307" s="8" t="s">
        <v>709</v>
      </c>
      <c r="D307" s="8" t="s">
        <v>91</v>
      </c>
      <c r="E307" s="8" t="s">
        <v>92</v>
      </c>
      <c r="F307" s="8" t="s">
        <v>213</v>
      </c>
      <c r="G307" s="9">
        <v>3264</v>
      </c>
      <c r="H307" s="9">
        <v>89</v>
      </c>
      <c r="I307" s="10">
        <v>21.34144</v>
      </c>
      <c r="J307" s="11">
        <v>21.31</v>
      </c>
      <c r="K307" s="12">
        <f t="shared" si="28"/>
        <v>0.0272671568627451</v>
      </c>
      <c r="L307" s="13">
        <f t="shared" si="29"/>
        <v>6.53843137254902</v>
      </c>
      <c r="M307" s="13">
        <f t="shared" si="30"/>
        <v>0.239791460674157</v>
      </c>
      <c r="N307" s="11">
        <v>0</v>
      </c>
      <c r="O307" s="11">
        <v>0</v>
      </c>
      <c r="P307" s="11">
        <v>19.38</v>
      </c>
      <c r="Q307" s="13">
        <f t="shared" si="31"/>
        <v>0.908092424878546</v>
      </c>
      <c r="R307" s="11">
        <v>19.38</v>
      </c>
      <c r="S307" s="13">
        <f t="shared" si="32"/>
        <v>0.908092424878546</v>
      </c>
      <c r="T307" s="9">
        <v>664</v>
      </c>
      <c r="U307" s="13">
        <f t="shared" si="33"/>
        <v>31.1131769927428</v>
      </c>
      <c r="V307" s="12">
        <f t="shared" si="34"/>
        <v>0.20343137254902</v>
      </c>
      <c r="W307" s="17">
        <f>COUNTIFS(源数据[日期],源数据[[#This Row],[日期]],源数据[账号id],源数据[[#This Row],[账号id]])</f>
        <v>1</v>
      </c>
      <c r="X307" s="15">
        <f>IFERROR(源数据[[#This Row],[点击量]]/源数据[[#This Row],[展示量]],"")</f>
        <v>0.0272671568627451</v>
      </c>
      <c r="Y307" s="16">
        <f>IFERROR(源数据[[#This Row],[播放量]]/源数据[[#This Row],[展示量]],"")</f>
        <v>0.20343137254902</v>
      </c>
      <c r="Z307" s="16">
        <f>IFERROR(源数据[[#This Row],[三连投放总消耗(毫分)]]/源数据[[#This Row],[播放量]],"")</f>
        <v>0.0321407228915663</v>
      </c>
      <c r="AA30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08" s="2" customFormat="1" spans="1:27">
      <c r="A308" s="7">
        <v>46204</v>
      </c>
      <c r="B308" s="8" t="s">
        <v>710</v>
      </c>
      <c r="C308" s="8" t="s">
        <v>711</v>
      </c>
      <c r="D308" s="8" t="s">
        <v>91</v>
      </c>
      <c r="E308" s="8" t="s">
        <v>92</v>
      </c>
      <c r="F308" s="8" t="s">
        <v>110</v>
      </c>
      <c r="G308" s="9">
        <v>351</v>
      </c>
      <c r="H308" s="9">
        <v>24</v>
      </c>
      <c r="I308" s="10">
        <v>20.98873</v>
      </c>
      <c r="J308" s="11">
        <v>20.94</v>
      </c>
      <c r="K308" s="12">
        <f t="shared" si="28"/>
        <v>0.0683760683760684</v>
      </c>
      <c r="L308" s="13">
        <f t="shared" si="29"/>
        <v>59.7969515669516</v>
      </c>
      <c r="M308" s="13">
        <f t="shared" si="30"/>
        <v>0.874530416666667</v>
      </c>
      <c r="N308" s="11">
        <v>0</v>
      </c>
      <c r="O308" s="11">
        <v>0</v>
      </c>
      <c r="P308" s="11">
        <v>4.05</v>
      </c>
      <c r="Q308" s="13">
        <f t="shared" si="31"/>
        <v>0.192960698431968</v>
      </c>
      <c r="R308" s="11">
        <v>4.05</v>
      </c>
      <c r="S308" s="13">
        <f t="shared" si="32"/>
        <v>0.192960698431968</v>
      </c>
      <c r="T308" s="9">
        <v>72</v>
      </c>
      <c r="U308" s="13">
        <f t="shared" si="33"/>
        <v>3.43041241656832</v>
      </c>
      <c r="V308" s="12">
        <f t="shared" si="34"/>
        <v>0.205128205128205</v>
      </c>
      <c r="W308" s="17">
        <f>COUNTIFS(源数据[日期],源数据[[#This Row],[日期]],源数据[账号id],源数据[[#This Row],[账号id]])</f>
        <v>1</v>
      </c>
      <c r="X308" s="15">
        <f>IFERROR(源数据[[#This Row],[点击量]]/源数据[[#This Row],[展示量]],"")</f>
        <v>0.0683760683760684</v>
      </c>
      <c r="Y308" s="16">
        <f>IFERROR(源数据[[#This Row],[播放量]]/源数据[[#This Row],[展示量]],"")</f>
        <v>0.205128205128205</v>
      </c>
      <c r="Z308" s="16">
        <f>IFERROR(源数据[[#This Row],[三连投放总消耗(毫分)]]/源数据[[#This Row],[播放量]],"")</f>
        <v>0.291510138888889</v>
      </c>
      <c r="AA30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09" s="2" customFormat="1" spans="1:27">
      <c r="A309" s="7">
        <v>46204</v>
      </c>
      <c r="B309" s="8" t="s">
        <v>712</v>
      </c>
      <c r="C309" s="8" t="s">
        <v>713</v>
      </c>
      <c r="D309" s="8" t="s">
        <v>91</v>
      </c>
      <c r="E309" s="8" t="s">
        <v>92</v>
      </c>
      <c r="F309" s="8" t="s">
        <v>96</v>
      </c>
      <c r="G309" s="9">
        <v>1549</v>
      </c>
      <c r="H309" s="9">
        <v>48</v>
      </c>
      <c r="I309" s="10">
        <v>19.08474</v>
      </c>
      <c r="J309" s="11">
        <v>19.08</v>
      </c>
      <c r="K309" s="12">
        <f t="shared" si="28"/>
        <v>0.0309877340219496</v>
      </c>
      <c r="L309" s="13">
        <f t="shared" si="29"/>
        <v>12.3206843124597</v>
      </c>
      <c r="M309" s="13">
        <f t="shared" si="30"/>
        <v>0.39759875</v>
      </c>
      <c r="N309" s="11">
        <v>0</v>
      </c>
      <c r="O309" s="11">
        <v>0</v>
      </c>
      <c r="P309" s="11">
        <v>14.7</v>
      </c>
      <c r="Q309" s="13">
        <f t="shared" si="31"/>
        <v>0.770248900430396</v>
      </c>
      <c r="R309" s="11">
        <v>14.7</v>
      </c>
      <c r="S309" s="13">
        <f t="shared" si="32"/>
        <v>0.770248900430396</v>
      </c>
      <c r="T309" s="9">
        <v>271</v>
      </c>
      <c r="U309" s="13">
        <f t="shared" si="33"/>
        <v>14.1998266677985</v>
      </c>
      <c r="V309" s="12">
        <f t="shared" si="34"/>
        <v>0.174951581665591</v>
      </c>
      <c r="W309" s="17">
        <f>COUNTIFS(源数据[日期],源数据[[#This Row],[日期]],源数据[账号id],源数据[[#This Row],[账号id]])</f>
        <v>1</v>
      </c>
      <c r="X309" s="15">
        <f>IFERROR(源数据[[#This Row],[点击量]]/源数据[[#This Row],[展示量]],"")</f>
        <v>0.0309877340219496</v>
      </c>
      <c r="Y309" s="16">
        <f>IFERROR(源数据[[#This Row],[播放量]]/源数据[[#This Row],[展示量]],"")</f>
        <v>0.174951581665591</v>
      </c>
      <c r="Z309" s="16">
        <f>IFERROR(源数据[[#This Row],[三连投放总消耗(毫分)]]/源数据[[#This Row],[播放量]],"")</f>
        <v>0.0704233948339483</v>
      </c>
      <c r="AA30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10" s="2" customFormat="1" spans="1:27">
      <c r="A310" s="7">
        <v>46204</v>
      </c>
      <c r="B310" s="8" t="s">
        <v>714</v>
      </c>
      <c r="C310" s="8" t="s">
        <v>715</v>
      </c>
      <c r="D310" s="8" t="s">
        <v>91</v>
      </c>
      <c r="E310" s="8" t="s">
        <v>92</v>
      </c>
      <c r="F310" s="8" t="s">
        <v>213</v>
      </c>
      <c r="G310" s="9">
        <v>2591</v>
      </c>
      <c r="H310" s="9">
        <v>29</v>
      </c>
      <c r="I310" s="10">
        <v>18.12727</v>
      </c>
      <c r="J310" s="11">
        <v>18.1</v>
      </c>
      <c r="K310" s="12">
        <f t="shared" si="28"/>
        <v>0.0111925897336936</v>
      </c>
      <c r="L310" s="13">
        <f t="shared" si="29"/>
        <v>6.99624469316866</v>
      </c>
      <c r="M310" s="13">
        <f t="shared" si="30"/>
        <v>0.625078275862069</v>
      </c>
      <c r="N310" s="11">
        <v>0</v>
      </c>
      <c r="O310" s="11">
        <v>0</v>
      </c>
      <c r="P310" s="11">
        <v>15.49</v>
      </c>
      <c r="Q310" s="13">
        <f t="shared" si="31"/>
        <v>0.854513669184604</v>
      </c>
      <c r="R310" s="11">
        <v>15.49</v>
      </c>
      <c r="S310" s="13">
        <f t="shared" si="32"/>
        <v>0.854513669184604</v>
      </c>
      <c r="T310" s="9">
        <v>530</v>
      </c>
      <c r="U310" s="13">
        <f t="shared" si="33"/>
        <v>29.2377175382724</v>
      </c>
      <c r="V310" s="12">
        <f t="shared" si="34"/>
        <v>0.204554226167503</v>
      </c>
      <c r="W310" s="17">
        <f>COUNTIFS(源数据[日期],源数据[[#This Row],[日期]],源数据[账号id],源数据[[#This Row],[账号id]])</f>
        <v>1</v>
      </c>
      <c r="X310" s="15">
        <f>IFERROR(源数据[[#This Row],[点击量]]/源数据[[#This Row],[展示量]],"")</f>
        <v>0.0111925897336936</v>
      </c>
      <c r="Y310" s="16">
        <f>IFERROR(源数据[[#This Row],[播放量]]/源数据[[#This Row],[展示量]],"")</f>
        <v>0.204554226167503</v>
      </c>
      <c r="Z310" s="16">
        <f>IFERROR(源数据[[#This Row],[三连投放总消耗(毫分)]]/源数据[[#This Row],[播放量]],"")</f>
        <v>0.0342023962264151</v>
      </c>
      <c r="AA31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11" s="2" customFormat="1" spans="1:27">
      <c r="A311" s="7">
        <v>46204</v>
      </c>
      <c r="B311" s="8" t="s">
        <v>716</v>
      </c>
      <c r="C311" s="8" t="s">
        <v>717</v>
      </c>
      <c r="D311" s="8" t="s">
        <v>91</v>
      </c>
      <c r="E311" s="8" t="s">
        <v>92</v>
      </c>
      <c r="F311" s="8" t="s">
        <v>115</v>
      </c>
      <c r="G311" s="9">
        <v>19044</v>
      </c>
      <c r="H311" s="9">
        <v>100</v>
      </c>
      <c r="I311" s="10">
        <v>17.66756</v>
      </c>
      <c r="J311" s="11">
        <v>17.59</v>
      </c>
      <c r="K311" s="12">
        <f t="shared" si="28"/>
        <v>0.00525099768956102</v>
      </c>
      <c r="L311" s="13">
        <f t="shared" si="29"/>
        <v>0.927723167401806</v>
      </c>
      <c r="M311" s="13">
        <f t="shared" si="30"/>
        <v>0.1766756</v>
      </c>
      <c r="N311" s="11">
        <v>0</v>
      </c>
      <c r="O311" s="11">
        <v>0</v>
      </c>
      <c r="P311" s="11">
        <v>15.53</v>
      </c>
      <c r="Q311" s="13">
        <f t="shared" si="31"/>
        <v>0.879012155611754</v>
      </c>
      <c r="R311" s="11">
        <v>15.53</v>
      </c>
      <c r="S311" s="13">
        <f t="shared" si="32"/>
        <v>0.879012155611754</v>
      </c>
      <c r="T311" s="9">
        <v>170</v>
      </c>
      <c r="U311" s="13">
        <f t="shared" si="33"/>
        <v>9.6221549551834</v>
      </c>
      <c r="V311" s="12">
        <f t="shared" si="34"/>
        <v>0.00892669607225373</v>
      </c>
      <c r="W311" s="17">
        <f>COUNTIFS(源数据[日期],源数据[[#This Row],[日期]],源数据[账号id],源数据[[#This Row],[账号id]])</f>
        <v>1</v>
      </c>
      <c r="X311" s="15">
        <f>IFERROR(源数据[[#This Row],[点击量]]/源数据[[#This Row],[展示量]],"")</f>
        <v>0.00525099768956102</v>
      </c>
      <c r="Y311" s="16">
        <f>IFERROR(源数据[[#This Row],[播放量]]/源数据[[#This Row],[展示量]],"")</f>
        <v>0.00892669607225373</v>
      </c>
      <c r="Z311" s="16">
        <f>IFERROR(源数据[[#This Row],[三连投放总消耗(毫分)]]/源数据[[#This Row],[播放量]],"")</f>
        <v>0.103926823529412</v>
      </c>
      <c r="AA31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12" s="2" customFormat="1" spans="1:27">
      <c r="A312" s="7">
        <v>46204</v>
      </c>
      <c r="B312" s="8" t="s">
        <v>718</v>
      </c>
      <c r="C312" s="8" t="s">
        <v>719</v>
      </c>
      <c r="D312" s="8" t="s">
        <v>91</v>
      </c>
      <c r="E312" s="8" t="s">
        <v>92</v>
      </c>
      <c r="F312" s="8" t="s">
        <v>93</v>
      </c>
      <c r="G312" s="9">
        <v>4277</v>
      </c>
      <c r="H312" s="9">
        <v>322</v>
      </c>
      <c r="I312" s="10">
        <v>16.49016</v>
      </c>
      <c r="J312" s="11">
        <v>16.46</v>
      </c>
      <c r="K312" s="12">
        <f t="shared" si="28"/>
        <v>0.0752864157119476</v>
      </c>
      <c r="L312" s="13">
        <f t="shared" si="29"/>
        <v>3.85554360533084</v>
      </c>
      <c r="M312" s="13">
        <f t="shared" si="30"/>
        <v>0.0512116770186335</v>
      </c>
      <c r="N312" s="11">
        <v>0</v>
      </c>
      <c r="O312" s="11">
        <v>0</v>
      </c>
      <c r="P312" s="11">
        <v>12.5</v>
      </c>
      <c r="Q312" s="13">
        <f t="shared" si="31"/>
        <v>0.758027817801647</v>
      </c>
      <c r="R312" s="11">
        <v>12.5</v>
      </c>
      <c r="S312" s="13">
        <f t="shared" si="32"/>
        <v>0.758027817801647</v>
      </c>
      <c r="T312" s="9">
        <v>0</v>
      </c>
      <c r="U312" s="13">
        <f t="shared" si="33"/>
        <v>0</v>
      </c>
      <c r="V312" s="12">
        <f t="shared" si="34"/>
        <v>0</v>
      </c>
      <c r="W312" s="17">
        <f>COUNTIFS(源数据[日期],源数据[[#This Row],[日期]],源数据[账号id],源数据[[#This Row],[账号id]])</f>
        <v>1</v>
      </c>
      <c r="X312" s="15">
        <f>IFERROR(源数据[[#This Row],[点击量]]/源数据[[#This Row],[展示量]],"")</f>
        <v>0.0752864157119476</v>
      </c>
      <c r="Y312" s="16">
        <f>IFERROR(源数据[[#This Row],[播放量]]/源数据[[#This Row],[展示量]],"")</f>
        <v>0</v>
      </c>
      <c r="Z312" s="16" t="str">
        <f>IFERROR(源数据[[#This Row],[三连投放总消耗(毫分)]]/源数据[[#This Row],[播放量]],"")</f>
        <v/>
      </c>
      <c r="AA31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13" s="2" customFormat="1" spans="1:27">
      <c r="A313" s="7">
        <v>46204</v>
      </c>
      <c r="B313" s="8" t="s">
        <v>720</v>
      </c>
      <c r="C313" s="8" t="s">
        <v>721</v>
      </c>
      <c r="D313" s="8" t="s">
        <v>91</v>
      </c>
      <c r="E313" s="8" t="s">
        <v>92</v>
      </c>
      <c r="F313" s="8" t="s">
        <v>115</v>
      </c>
      <c r="G313" s="9">
        <v>11344</v>
      </c>
      <c r="H313" s="9">
        <v>119</v>
      </c>
      <c r="I313" s="10">
        <v>14.5821</v>
      </c>
      <c r="J313" s="11">
        <v>14.51</v>
      </c>
      <c r="K313" s="12">
        <f t="shared" si="28"/>
        <v>0.0104901269393512</v>
      </c>
      <c r="L313" s="13">
        <f t="shared" si="29"/>
        <v>1.28544605077574</v>
      </c>
      <c r="M313" s="13">
        <f t="shared" si="30"/>
        <v>0.122538655462185</v>
      </c>
      <c r="N313" s="11">
        <v>0</v>
      </c>
      <c r="O313" s="11">
        <v>0</v>
      </c>
      <c r="P313" s="11">
        <v>11.29</v>
      </c>
      <c r="Q313" s="13">
        <f t="shared" si="31"/>
        <v>0.774236906892697</v>
      </c>
      <c r="R313" s="11">
        <v>11.29</v>
      </c>
      <c r="S313" s="13">
        <f t="shared" si="32"/>
        <v>0.774236906892697</v>
      </c>
      <c r="T313" s="9">
        <v>410</v>
      </c>
      <c r="U313" s="13">
        <f t="shared" si="33"/>
        <v>28.1166635806914</v>
      </c>
      <c r="V313" s="12">
        <f t="shared" si="34"/>
        <v>0.0361424541607898</v>
      </c>
      <c r="W313" s="17">
        <f>COUNTIFS(源数据[日期],源数据[[#This Row],[日期]],源数据[账号id],源数据[[#This Row],[账号id]])</f>
        <v>1</v>
      </c>
      <c r="X313" s="15">
        <f>IFERROR(源数据[[#This Row],[点击量]]/源数据[[#This Row],[展示量]],"")</f>
        <v>0.0104901269393512</v>
      </c>
      <c r="Y313" s="16">
        <f>IFERROR(源数据[[#This Row],[播放量]]/源数据[[#This Row],[展示量]],"")</f>
        <v>0.0361424541607898</v>
      </c>
      <c r="Z313" s="16">
        <f>IFERROR(源数据[[#This Row],[三连投放总消耗(毫分)]]/源数据[[#This Row],[播放量]],"")</f>
        <v>0.0355660975609756</v>
      </c>
      <c r="AA31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14" s="2" customFormat="1" spans="1:27">
      <c r="A314" s="7">
        <v>46204</v>
      </c>
      <c r="B314" s="8" t="s">
        <v>722</v>
      </c>
      <c r="C314" s="8" t="s">
        <v>723</v>
      </c>
      <c r="D314" s="8" t="s">
        <v>91</v>
      </c>
      <c r="E314" s="8" t="s">
        <v>92</v>
      </c>
      <c r="F314" s="8" t="s">
        <v>101</v>
      </c>
      <c r="G314" s="9">
        <v>2031</v>
      </c>
      <c r="H314" s="9">
        <v>59</v>
      </c>
      <c r="I314" s="10">
        <v>14.51612</v>
      </c>
      <c r="J314" s="11">
        <v>14.44</v>
      </c>
      <c r="K314" s="12">
        <f t="shared" si="28"/>
        <v>0.0290497291974397</v>
      </c>
      <c r="L314" s="13">
        <f t="shared" si="29"/>
        <v>7.1472772033481</v>
      </c>
      <c r="M314" s="13">
        <f t="shared" si="30"/>
        <v>0.24603593220339</v>
      </c>
      <c r="N314" s="11">
        <v>0</v>
      </c>
      <c r="O314" s="11">
        <v>0</v>
      </c>
      <c r="P314" s="11">
        <v>12.67</v>
      </c>
      <c r="Q314" s="13">
        <f t="shared" si="31"/>
        <v>0.872822765311943</v>
      </c>
      <c r="R314" s="11">
        <v>12.67</v>
      </c>
      <c r="S314" s="13">
        <f t="shared" si="32"/>
        <v>0.872822765311943</v>
      </c>
      <c r="T314" s="9">
        <v>536</v>
      </c>
      <c r="U314" s="13">
        <f t="shared" si="33"/>
        <v>36.9244674196686</v>
      </c>
      <c r="V314" s="12">
        <f t="shared" si="34"/>
        <v>0.263909404234367</v>
      </c>
      <c r="W314" s="17">
        <f>COUNTIFS(源数据[日期],源数据[[#This Row],[日期]],源数据[账号id],源数据[[#This Row],[账号id]])</f>
        <v>1</v>
      </c>
      <c r="X314" s="15">
        <f>IFERROR(源数据[[#This Row],[点击量]]/源数据[[#This Row],[展示量]],"")</f>
        <v>0.0290497291974397</v>
      </c>
      <c r="Y314" s="16">
        <f>IFERROR(源数据[[#This Row],[播放量]]/源数据[[#This Row],[展示量]],"")</f>
        <v>0.263909404234367</v>
      </c>
      <c r="Z314" s="16">
        <f>IFERROR(源数据[[#This Row],[三连投放总消耗(毫分)]]/源数据[[#This Row],[播放量]],"")</f>
        <v>0.0270823134328358</v>
      </c>
      <c r="AA31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15" s="2" customFormat="1" spans="1:27">
      <c r="A315" s="7">
        <v>46204</v>
      </c>
      <c r="B315" s="8" t="s">
        <v>724</v>
      </c>
      <c r="C315" s="8" t="s">
        <v>725</v>
      </c>
      <c r="D315" s="8" t="s">
        <v>91</v>
      </c>
      <c r="E315" s="8" t="s">
        <v>92</v>
      </c>
      <c r="F315" s="8" t="s">
        <v>110</v>
      </c>
      <c r="G315" s="9">
        <v>118</v>
      </c>
      <c r="H315" s="9">
        <v>15</v>
      </c>
      <c r="I315" s="10">
        <v>14.45069</v>
      </c>
      <c r="J315" s="11">
        <v>14.41</v>
      </c>
      <c r="K315" s="12">
        <f t="shared" si="28"/>
        <v>0.127118644067797</v>
      </c>
      <c r="L315" s="13">
        <f t="shared" si="29"/>
        <v>122.463474576271</v>
      </c>
      <c r="M315" s="13">
        <f t="shared" si="30"/>
        <v>0.963379333333333</v>
      </c>
      <c r="N315" s="11">
        <v>0</v>
      </c>
      <c r="O315" s="11">
        <v>0</v>
      </c>
      <c r="P315" s="11">
        <v>6</v>
      </c>
      <c r="Q315" s="13">
        <f t="shared" si="31"/>
        <v>0.415205087092727</v>
      </c>
      <c r="R315" s="11">
        <v>6</v>
      </c>
      <c r="S315" s="13">
        <f t="shared" si="32"/>
        <v>0.415205087092727</v>
      </c>
      <c r="T315" s="9">
        <v>20</v>
      </c>
      <c r="U315" s="13">
        <f t="shared" si="33"/>
        <v>1.38401695697576</v>
      </c>
      <c r="V315" s="12">
        <f t="shared" si="34"/>
        <v>0.169491525423729</v>
      </c>
      <c r="W315" s="17">
        <f>COUNTIFS(源数据[日期],源数据[[#This Row],[日期]],源数据[账号id],源数据[[#This Row],[账号id]])</f>
        <v>1</v>
      </c>
      <c r="X315" s="15">
        <f>IFERROR(源数据[[#This Row],[点击量]]/源数据[[#This Row],[展示量]],"")</f>
        <v>0.127118644067797</v>
      </c>
      <c r="Y315" s="16">
        <f>IFERROR(源数据[[#This Row],[播放量]]/源数据[[#This Row],[展示量]],"")</f>
        <v>0.169491525423729</v>
      </c>
      <c r="Z315" s="16">
        <f>IFERROR(源数据[[#This Row],[三连投放总消耗(毫分)]]/源数据[[#This Row],[播放量]],"")</f>
        <v>0.7225345</v>
      </c>
      <c r="AA31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16" s="2" customFormat="1" spans="1:27">
      <c r="A316" s="7">
        <v>46204</v>
      </c>
      <c r="B316" s="8" t="s">
        <v>726</v>
      </c>
      <c r="C316" s="8" t="s">
        <v>727</v>
      </c>
      <c r="D316" s="8" t="s">
        <v>91</v>
      </c>
      <c r="E316" s="8" t="s">
        <v>92</v>
      </c>
      <c r="F316" s="8" t="s">
        <v>96</v>
      </c>
      <c r="G316" s="9">
        <v>1462</v>
      </c>
      <c r="H316" s="9">
        <v>44</v>
      </c>
      <c r="I316" s="10">
        <v>14.22761</v>
      </c>
      <c r="J316" s="11">
        <v>14.22</v>
      </c>
      <c r="K316" s="12">
        <f t="shared" si="28"/>
        <v>0.0300957592339261</v>
      </c>
      <c r="L316" s="13">
        <f t="shared" si="29"/>
        <v>9.7316073871409</v>
      </c>
      <c r="M316" s="13">
        <f t="shared" si="30"/>
        <v>0.323354772727273</v>
      </c>
      <c r="N316" s="11">
        <v>0</v>
      </c>
      <c r="O316" s="11">
        <v>0</v>
      </c>
      <c r="P316" s="11">
        <v>13.08</v>
      </c>
      <c r="Q316" s="13">
        <f t="shared" si="31"/>
        <v>0.91933922844385</v>
      </c>
      <c r="R316" s="11">
        <v>13.08</v>
      </c>
      <c r="S316" s="13">
        <f t="shared" si="32"/>
        <v>0.91933922844385</v>
      </c>
      <c r="T316" s="9">
        <v>258</v>
      </c>
      <c r="U316" s="13">
        <f t="shared" si="33"/>
        <v>18.1337554234337</v>
      </c>
      <c r="V316" s="12">
        <f t="shared" si="34"/>
        <v>0.176470588235294</v>
      </c>
      <c r="W316" s="17">
        <f>COUNTIFS(源数据[日期],源数据[[#This Row],[日期]],源数据[账号id],源数据[[#This Row],[账号id]])</f>
        <v>1</v>
      </c>
      <c r="X316" s="15">
        <f>IFERROR(源数据[[#This Row],[点击量]]/源数据[[#This Row],[展示量]],"")</f>
        <v>0.0300957592339261</v>
      </c>
      <c r="Y316" s="16">
        <f>IFERROR(源数据[[#This Row],[播放量]]/源数据[[#This Row],[展示量]],"")</f>
        <v>0.176470588235294</v>
      </c>
      <c r="Z316" s="16">
        <f>IFERROR(源数据[[#This Row],[三连投放总消耗(毫分)]]/源数据[[#This Row],[播放量]],"")</f>
        <v>0.0551457751937985</v>
      </c>
      <c r="AA31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17" s="2" customFormat="1" spans="1:27">
      <c r="A317" s="7">
        <v>46204</v>
      </c>
      <c r="B317" s="8" t="s">
        <v>728</v>
      </c>
      <c r="C317" s="8" t="s">
        <v>729</v>
      </c>
      <c r="D317" s="8" t="s">
        <v>91</v>
      </c>
      <c r="E317" s="8" t="s">
        <v>92</v>
      </c>
      <c r="F317" s="8" t="s">
        <v>115</v>
      </c>
      <c r="G317" s="9">
        <v>799</v>
      </c>
      <c r="H317" s="9">
        <v>54</v>
      </c>
      <c r="I317" s="10">
        <v>13.11506</v>
      </c>
      <c r="J317" s="11">
        <v>13.1</v>
      </c>
      <c r="K317" s="12">
        <f t="shared" si="28"/>
        <v>0.0675844806007509</v>
      </c>
      <c r="L317" s="13">
        <f t="shared" si="29"/>
        <v>16.4143429286608</v>
      </c>
      <c r="M317" s="13">
        <f t="shared" si="30"/>
        <v>0.242871481481481</v>
      </c>
      <c r="N317" s="11">
        <v>0</v>
      </c>
      <c r="O317" s="11">
        <v>0</v>
      </c>
      <c r="P317" s="11">
        <v>12.11</v>
      </c>
      <c r="Q317" s="13">
        <f t="shared" si="31"/>
        <v>0.923365962488925</v>
      </c>
      <c r="R317" s="11">
        <v>12.11</v>
      </c>
      <c r="S317" s="13">
        <f t="shared" si="32"/>
        <v>0.923365962488925</v>
      </c>
      <c r="T317" s="9">
        <v>208</v>
      </c>
      <c r="U317" s="13">
        <f t="shared" si="33"/>
        <v>15.8596300741285</v>
      </c>
      <c r="V317" s="12">
        <f t="shared" si="34"/>
        <v>0.260325406758448</v>
      </c>
      <c r="W317" s="17">
        <f>COUNTIFS(源数据[日期],源数据[[#This Row],[日期]],源数据[账号id],源数据[[#This Row],[账号id]])</f>
        <v>1</v>
      </c>
      <c r="X317" s="15">
        <f>IFERROR(源数据[[#This Row],[点击量]]/源数据[[#This Row],[展示量]],"")</f>
        <v>0.0675844806007509</v>
      </c>
      <c r="Y317" s="16">
        <f>IFERROR(源数据[[#This Row],[播放量]]/源数据[[#This Row],[展示量]],"")</f>
        <v>0.260325406758448</v>
      </c>
      <c r="Z317" s="16">
        <f>IFERROR(源数据[[#This Row],[三连投放总消耗(毫分)]]/源数据[[#This Row],[播放量]],"")</f>
        <v>0.0630531730769231</v>
      </c>
      <c r="AA31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18" s="2" customFormat="1" spans="1:27">
      <c r="A318" s="7">
        <v>46204</v>
      </c>
      <c r="B318" s="8" t="s">
        <v>730</v>
      </c>
      <c r="C318" s="8" t="s">
        <v>731</v>
      </c>
      <c r="D318" s="8" t="s">
        <v>91</v>
      </c>
      <c r="E318" s="8" t="s">
        <v>92</v>
      </c>
      <c r="F318" s="8" t="s">
        <v>96</v>
      </c>
      <c r="G318" s="9">
        <v>1080</v>
      </c>
      <c r="H318" s="9">
        <v>35</v>
      </c>
      <c r="I318" s="10">
        <v>12.94513</v>
      </c>
      <c r="J318" s="11">
        <v>12.94</v>
      </c>
      <c r="K318" s="12">
        <f t="shared" si="28"/>
        <v>0.0324074074074074</v>
      </c>
      <c r="L318" s="13">
        <f t="shared" si="29"/>
        <v>11.9862314814815</v>
      </c>
      <c r="M318" s="13">
        <f t="shared" si="30"/>
        <v>0.369860857142857</v>
      </c>
      <c r="N318" s="11">
        <v>0</v>
      </c>
      <c r="O318" s="11">
        <v>0</v>
      </c>
      <c r="P318" s="11">
        <v>11.88</v>
      </c>
      <c r="Q318" s="13">
        <f t="shared" si="31"/>
        <v>0.917719636651003</v>
      </c>
      <c r="R318" s="11">
        <v>11.88</v>
      </c>
      <c r="S318" s="13">
        <f t="shared" si="32"/>
        <v>0.917719636651003</v>
      </c>
      <c r="T318" s="9">
        <v>209</v>
      </c>
      <c r="U318" s="13">
        <f t="shared" si="33"/>
        <v>16.1450676818232</v>
      </c>
      <c r="V318" s="12">
        <f t="shared" si="34"/>
        <v>0.193518518518519</v>
      </c>
      <c r="W318" s="17">
        <f>COUNTIFS(源数据[日期],源数据[[#This Row],[日期]],源数据[账号id],源数据[[#This Row],[账号id]])</f>
        <v>1</v>
      </c>
      <c r="X318" s="15">
        <f>IFERROR(源数据[[#This Row],[点击量]]/源数据[[#This Row],[展示量]],"")</f>
        <v>0.0324074074074074</v>
      </c>
      <c r="Y318" s="16">
        <f>IFERROR(源数据[[#This Row],[播放量]]/源数据[[#This Row],[展示量]],"")</f>
        <v>0.193518518518519</v>
      </c>
      <c r="Z318" s="16">
        <f>IFERROR(源数据[[#This Row],[三连投放总消耗(毫分)]]/源数据[[#This Row],[播放量]],"")</f>
        <v>0.0619384210526316</v>
      </c>
      <c r="AA31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19" s="2" customFormat="1" spans="1:27">
      <c r="A319" s="7">
        <v>46204</v>
      </c>
      <c r="B319" s="8" t="s">
        <v>732</v>
      </c>
      <c r="C319" s="8" t="s">
        <v>733</v>
      </c>
      <c r="D319" s="8" t="s">
        <v>91</v>
      </c>
      <c r="E319" s="8" t="s">
        <v>92</v>
      </c>
      <c r="F319" s="8" t="s">
        <v>152</v>
      </c>
      <c r="G319" s="9">
        <v>162</v>
      </c>
      <c r="H319" s="9">
        <v>106</v>
      </c>
      <c r="I319" s="10">
        <v>12.54952</v>
      </c>
      <c r="J319" s="11">
        <v>12.53</v>
      </c>
      <c r="K319" s="12">
        <f t="shared" si="28"/>
        <v>0.654320987654321</v>
      </c>
      <c r="L319" s="13">
        <f t="shared" si="29"/>
        <v>77.4661728395062</v>
      </c>
      <c r="M319" s="13">
        <f t="shared" si="30"/>
        <v>0.118391698113208</v>
      </c>
      <c r="N319" s="11">
        <v>0</v>
      </c>
      <c r="O319" s="11">
        <v>0</v>
      </c>
      <c r="P319" s="11">
        <v>6.33</v>
      </c>
      <c r="Q319" s="13">
        <f t="shared" si="31"/>
        <v>0.504401761979741</v>
      </c>
      <c r="R319" s="11">
        <v>6.33</v>
      </c>
      <c r="S319" s="13">
        <f t="shared" si="32"/>
        <v>0.504401761979741</v>
      </c>
      <c r="T319" s="9">
        <v>53</v>
      </c>
      <c r="U319" s="13">
        <f t="shared" si="33"/>
        <v>4.22326909714475</v>
      </c>
      <c r="V319" s="12">
        <f t="shared" si="34"/>
        <v>0.327160493827161</v>
      </c>
      <c r="W319" s="17">
        <f>COUNTIFS(源数据[日期],源数据[[#This Row],[日期]],源数据[账号id],源数据[[#This Row],[账号id]])</f>
        <v>1</v>
      </c>
      <c r="X319" s="15">
        <f>IFERROR(源数据[[#This Row],[点击量]]/源数据[[#This Row],[展示量]],"")</f>
        <v>0.654320987654321</v>
      </c>
      <c r="Y319" s="16">
        <f>IFERROR(源数据[[#This Row],[播放量]]/源数据[[#This Row],[展示量]],"")</f>
        <v>0.327160493827161</v>
      </c>
      <c r="Z319" s="16">
        <f>IFERROR(源数据[[#This Row],[三连投放总消耗(毫分)]]/源数据[[#This Row],[播放量]],"")</f>
        <v>0.236783396226415</v>
      </c>
      <c r="AA31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20" s="2" customFormat="1" spans="1:27">
      <c r="A320" s="7">
        <v>46204</v>
      </c>
      <c r="B320" s="8" t="s">
        <v>734</v>
      </c>
      <c r="C320" s="8" t="s">
        <v>735</v>
      </c>
      <c r="D320" s="8" t="s">
        <v>91</v>
      </c>
      <c r="E320" s="8" t="s">
        <v>92</v>
      </c>
      <c r="F320" s="8" t="s">
        <v>115</v>
      </c>
      <c r="G320" s="9">
        <v>1134</v>
      </c>
      <c r="H320" s="9">
        <v>47</v>
      </c>
      <c r="I320" s="10">
        <v>12.30943</v>
      </c>
      <c r="J320" s="11">
        <v>12.29</v>
      </c>
      <c r="K320" s="12">
        <f t="shared" si="28"/>
        <v>0.0414462081128748</v>
      </c>
      <c r="L320" s="13">
        <f t="shared" si="29"/>
        <v>10.8548765432099</v>
      </c>
      <c r="M320" s="13">
        <f t="shared" si="30"/>
        <v>0.261902765957447</v>
      </c>
      <c r="N320" s="11">
        <v>0</v>
      </c>
      <c r="O320" s="11">
        <v>0</v>
      </c>
      <c r="P320" s="11">
        <v>10.46</v>
      </c>
      <c r="Q320" s="13">
        <f t="shared" si="31"/>
        <v>0.849755025212378</v>
      </c>
      <c r="R320" s="11">
        <v>10.46</v>
      </c>
      <c r="S320" s="13">
        <f t="shared" si="32"/>
        <v>0.849755025212378</v>
      </c>
      <c r="T320" s="9">
        <v>270</v>
      </c>
      <c r="U320" s="13">
        <f t="shared" si="33"/>
        <v>21.9344031364572</v>
      </c>
      <c r="V320" s="12">
        <f t="shared" si="34"/>
        <v>0.238095238095238</v>
      </c>
      <c r="W320" s="17">
        <f>COUNTIFS(源数据[日期],源数据[[#This Row],[日期]],源数据[账号id],源数据[[#This Row],[账号id]])</f>
        <v>1</v>
      </c>
      <c r="X320" s="15">
        <f>IFERROR(源数据[[#This Row],[点击量]]/源数据[[#This Row],[展示量]],"")</f>
        <v>0.0414462081128748</v>
      </c>
      <c r="Y320" s="16">
        <f>IFERROR(源数据[[#This Row],[播放量]]/源数据[[#This Row],[展示量]],"")</f>
        <v>0.238095238095238</v>
      </c>
      <c r="Z320" s="16">
        <f>IFERROR(源数据[[#This Row],[三连投放总消耗(毫分)]]/源数据[[#This Row],[播放量]],"")</f>
        <v>0.0455904814814815</v>
      </c>
      <c r="AA32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21" s="2" customFormat="1" spans="1:27">
      <c r="A321" s="7">
        <v>46204</v>
      </c>
      <c r="B321" s="8" t="s">
        <v>736</v>
      </c>
      <c r="C321" s="8" t="s">
        <v>737</v>
      </c>
      <c r="D321" s="8" t="s">
        <v>91</v>
      </c>
      <c r="E321" s="8" t="s">
        <v>92</v>
      </c>
      <c r="F321" s="8" t="s">
        <v>152</v>
      </c>
      <c r="G321" s="9">
        <v>138</v>
      </c>
      <c r="H321" s="9">
        <v>53</v>
      </c>
      <c r="I321" s="10">
        <v>11.90368</v>
      </c>
      <c r="J321" s="11">
        <v>11.89</v>
      </c>
      <c r="K321" s="12">
        <f t="shared" si="28"/>
        <v>0.384057971014493</v>
      </c>
      <c r="L321" s="13">
        <f t="shared" si="29"/>
        <v>86.2585507246377</v>
      </c>
      <c r="M321" s="13">
        <f t="shared" si="30"/>
        <v>0.224597735849057</v>
      </c>
      <c r="N321" s="11">
        <v>0</v>
      </c>
      <c r="O321" s="11">
        <v>0</v>
      </c>
      <c r="P321" s="11">
        <v>8.51</v>
      </c>
      <c r="Q321" s="13">
        <f t="shared" si="31"/>
        <v>0.714904970563725</v>
      </c>
      <c r="R321" s="11">
        <v>8.51</v>
      </c>
      <c r="S321" s="13">
        <f t="shared" si="32"/>
        <v>0.714904970563725</v>
      </c>
      <c r="T321" s="9">
        <v>54</v>
      </c>
      <c r="U321" s="13">
        <f t="shared" si="33"/>
        <v>4.53641226914702</v>
      </c>
      <c r="V321" s="12">
        <f t="shared" si="34"/>
        <v>0.391304347826087</v>
      </c>
      <c r="W321" s="17">
        <f>COUNTIFS(源数据[日期],源数据[[#This Row],[日期]],源数据[账号id],源数据[[#This Row],[账号id]])</f>
        <v>1</v>
      </c>
      <c r="X321" s="15">
        <f>IFERROR(源数据[[#This Row],[点击量]]/源数据[[#This Row],[展示量]],"")</f>
        <v>0.384057971014493</v>
      </c>
      <c r="Y321" s="16">
        <f>IFERROR(源数据[[#This Row],[播放量]]/源数据[[#This Row],[展示量]],"")</f>
        <v>0.391304347826087</v>
      </c>
      <c r="Z321" s="16">
        <f>IFERROR(源数据[[#This Row],[三连投放总消耗(毫分)]]/源数据[[#This Row],[播放量]],"")</f>
        <v>0.220438518518519</v>
      </c>
      <c r="AA32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22" s="2" customFormat="1" spans="1:27">
      <c r="A322" s="7">
        <v>46204</v>
      </c>
      <c r="B322" s="8" t="s">
        <v>738</v>
      </c>
      <c r="C322" s="8" t="s">
        <v>739</v>
      </c>
      <c r="D322" s="8" t="s">
        <v>91</v>
      </c>
      <c r="E322" s="8" t="s">
        <v>92</v>
      </c>
      <c r="F322" s="8" t="s">
        <v>96</v>
      </c>
      <c r="G322" s="9">
        <v>1538</v>
      </c>
      <c r="H322" s="9">
        <v>43</v>
      </c>
      <c r="I322" s="10">
        <v>10.90001</v>
      </c>
      <c r="J322" s="11">
        <v>10.9</v>
      </c>
      <c r="K322" s="12">
        <f t="shared" ref="K322:K385" si="35">IF(G322=0,0,H322/G322)</f>
        <v>0.0279583875162549</v>
      </c>
      <c r="L322" s="13">
        <f t="shared" ref="L322:L385" si="36">IF(G322=0,0,I322/G322*1000)</f>
        <v>7.08713263979194</v>
      </c>
      <c r="M322" s="13">
        <f t="shared" ref="M322:M385" si="37">IF(H322=0,0,I322/H322)</f>
        <v>0.253488604651163</v>
      </c>
      <c r="N322" s="11">
        <v>0</v>
      </c>
      <c r="O322" s="11">
        <v>0</v>
      </c>
      <c r="P322" s="11">
        <v>11.49</v>
      </c>
      <c r="Q322" s="13">
        <f t="shared" ref="Q322:Q385" si="38">IF(I322=0,0,P322/I322)</f>
        <v>1.05412747327755</v>
      </c>
      <c r="R322" s="11">
        <v>11.49</v>
      </c>
      <c r="S322" s="13">
        <f t="shared" ref="S322:S385" si="39">IF(I322=0,0,R322/I322)</f>
        <v>1.05412747327755</v>
      </c>
      <c r="T322" s="9">
        <v>274</v>
      </c>
      <c r="U322" s="13">
        <f t="shared" ref="U322:U385" si="40">IF(I322=0,0,T322/I322)</f>
        <v>25.1375916168884</v>
      </c>
      <c r="V322" s="12">
        <f t="shared" ref="V322:V385" si="41">IF(G322=0,0,T322/G322)</f>
        <v>0.17815344603381</v>
      </c>
      <c r="W322" s="17">
        <f>COUNTIFS(源数据[日期],源数据[[#This Row],[日期]],源数据[账号id],源数据[[#This Row],[账号id]])</f>
        <v>1</v>
      </c>
      <c r="X322" s="15">
        <f>IFERROR(源数据[[#This Row],[点击量]]/源数据[[#This Row],[展示量]],"")</f>
        <v>0.0279583875162549</v>
      </c>
      <c r="Y322" s="16">
        <f>IFERROR(源数据[[#This Row],[播放量]]/源数据[[#This Row],[展示量]],"")</f>
        <v>0.17815344603381</v>
      </c>
      <c r="Z322" s="16">
        <f>IFERROR(源数据[[#This Row],[三连投放总消耗(毫分)]]/源数据[[#This Row],[播放量]],"")</f>
        <v>0.0397810583941606</v>
      </c>
      <c r="AA32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23" s="2" customFormat="1" spans="1:27">
      <c r="A323" s="7">
        <v>46204</v>
      </c>
      <c r="B323" s="8" t="s">
        <v>740</v>
      </c>
      <c r="C323" s="8" t="s">
        <v>741</v>
      </c>
      <c r="D323" s="8" t="s">
        <v>91</v>
      </c>
      <c r="E323" s="8" t="s">
        <v>92</v>
      </c>
      <c r="F323" s="8" t="s">
        <v>101</v>
      </c>
      <c r="G323" s="9">
        <v>1359</v>
      </c>
      <c r="H323" s="9">
        <v>31</v>
      </c>
      <c r="I323" s="10">
        <v>9.62109</v>
      </c>
      <c r="J323" s="11">
        <v>9.55</v>
      </c>
      <c r="K323" s="12">
        <f t="shared" si="35"/>
        <v>0.0228108903605592</v>
      </c>
      <c r="L323" s="13">
        <f t="shared" si="36"/>
        <v>7.07953642384106</v>
      </c>
      <c r="M323" s="13">
        <f t="shared" si="37"/>
        <v>0.310357741935484</v>
      </c>
      <c r="N323" s="11">
        <v>0</v>
      </c>
      <c r="O323" s="11">
        <v>0</v>
      </c>
      <c r="P323" s="11">
        <v>5.03</v>
      </c>
      <c r="Q323" s="13">
        <f t="shared" si="38"/>
        <v>0.522809785585625</v>
      </c>
      <c r="R323" s="11">
        <v>5.03</v>
      </c>
      <c r="S323" s="13">
        <f t="shared" si="39"/>
        <v>0.522809785585625</v>
      </c>
      <c r="T323" s="9">
        <v>206</v>
      </c>
      <c r="U323" s="13">
        <f t="shared" si="40"/>
        <v>21.4112953937652</v>
      </c>
      <c r="V323" s="12">
        <f t="shared" si="41"/>
        <v>0.151582045621781</v>
      </c>
      <c r="W323" s="17">
        <f>COUNTIFS(源数据[日期],源数据[[#This Row],[日期]],源数据[账号id],源数据[[#This Row],[账号id]])</f>
        <v>1</v>
      </c>
      <c r="X323" s="15">
        <f>IFERROR(源数据[[#This Row],[点击量]]/源数据[[#This Row],[展示量]],"")</f>
        <v>0.0228108903605592</v>
      </c>
      <c r="Y323" s="16">
        <f>IFERROR(源数据[[#This Row],[播放量]]/源数据[[#This Row],[展示量]],"")</f>
        <v>0.151582045621781</v>
      </c>
      <c r="Z323" s="16">
        <f>IFERROR(源数据[[#This Row],[三连投放总消耗(毫分)]]/源数据[[#This Row],[播放量]],"")</f>
        <v>0.0467043203883495</v>
      </c>
      <c r="AA32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24" s="2" customFormat="1" spans="1:27">
      <c r="A324" s="7">
        <v>46204</v>
      </c>
      <c r="B324" s="8" t="s">
        <v>742</v>
      </c>
      <c r="C324" s="8" t="s">
        <v>743</v>
      </c>
      <c r="D324" s="8" t="s">
        <v>91</v>
      </c>
      <c r="E324" s="8" t="s">
        <v>92</v>
      </c>
      <c r="F324" s="8" t="s">
        <v>115</v>
      </c>
      <c r="G324" s="9">
        <v>30287</v>
      </c>
      <c r="H324" s="9">
        <v>85</v>
      </c>
      <c r="I324" s="10">
        <v>9.53299</v>
      </c>
      <c r="J324" s="11">
        <v>9.45</v>
      </c>
      <c r="K324" s="12">
        <f t="shared" si="35"/>
        <v>0.00280648463036947</v>
      </c>
      <c r="L324" s="13">
        <f t="shared" si="36"/>
        <v>0.314755175487833</v>
      </c>
      <c r="M324" s="13">
        <f t="shared" si="37"/>
        <v>0.112152823529412</v>
      </c>
      <c r="N324" s="11">
        <v>0</v>
      </c>
      <c r="O324" s="11">
        <v>0</v>
      </c>
      <c r="P324" s="11">
        <v>16.79</v>
      </c>
      <c r="Q324" s="13">
        <f t="shared" si="38"/>
        <v>1.76125224090238</v>
      </c>
      <c r="R324" s="11">
        <v>16.79</v>
      </c>
      <c r="S324" s="13">
        <f t="shared" si="39"/>
        <v>1.76125224090238</v>
      </c>
      <c r="T324" s="9">
        <v>326</v>
      </c>
      <c r="U324" s="13">
        <f t="shared" si="40"/>
        <v>34.197035767372</v>
      </c>
      <c r="V324" s="12">
        <f t="shared" si="41"/>
        <v>0.0107636939941229</v>
      </c>
      <c r="W324" s="17">
        <f>COUNTIFS(源数据[日期],源数据[[#This Row],[日期]],源数据[账号id],源数据[[#This Row],[账号id]])</f>
        <v>1</v>
      </c>
      <c r="X324" s="15">
        <f>IFERROR(源数据[[#This Row],[点击量]]/源数据[[#This Row],[展示量]],"")</f>
        <v>0.00280648463036947</v>
      </c>
      <c r="Y324" s="16">
        <f>IFERROR(源数据[[#This Row],[播放量]]/源数据[[#This Row],[展示量]],"")</f>
        <v>0.0107636939941229</v>
      </c>
      <c r="Z324" s="16">
        <f>IFERROR(源数据[[#This Row],[三连投放总消耗(毫分)]]/源数据[[#This Row],[播放量]],"")</f>
        <v>0.0292423006134969</v>
      </c>
      <c r="AA32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25" s="2" customFormat="1" spans="1:27">
      <c r="A325" s="7">
        <v>46204</v>
      </c>
      <c r="B325" s="8" t="s">
        <v>744</v>
      </c>
      <c r="C325" s="8" t="s">
        <v>745</v>
      </c>
      <c r="D325" s="8" t="s">
        <v>91</v>
      </c>
      <c r="E325" s="8" t="s">
        <v>92</v>
      </c>
      <c r="F325" s="8" t="s">
        <v>93</v>
      </c>
      <c r="G325" s="9">
        <v>1014</v>
      </c>
      <c r="H325" s="9">
        <v>94</v>
      </c>
      <c r="I325" s="10">
        <v>9.50104</v>
      </c>
      <c r="J325" s="11">
        <v>9.47</v>
      </c>
      <c r="K325" s="12">
        <f t="shared" si="35"/>
        <v>0.0927021696252465</v>
      </c>
      <c r="L325" s="13">
        <f t="shared" si="36"/>
        <v>9.36986193293886</v>
      </c>
      <c r="M325" s="13">
        <f t="shared" si="37"/>
        <v>0.101074893617021</v>
      </c>
      <c r="N325" s="11">
        <v>0</v>
      </c>
      <c r="O325" s="11">
        <v>0</v>
      </c>
      <c r="P325" s="11">
        <v>8.96</v>
      </c>
      <c r="Q325" s="13">
        <f t="shared" si="38"/>
        <v>0.94305465506934</v>
      </c>
      <c r="R325" s="11">
        <v>8.96</v>
      </c>
      <c r="S325" s="13">
        <f t="shared" si="39"/>
        <v>0.94305465506934</v>
      </c>
      <c r="T325" s="9">
        <v>214</v>
      </c>
      <c r="U325" s="13">
        <f t="shared" si="40"/>
        <v>22.5238500206293</v>
      </c>
      <c r="V325" s="12">
        <f t="shared" si="41"/>
        <v>0.211045364891519</v>
      </c>
      <c r="W325" s="17">
        <f>COUNTIFS(源数据[日期],源数据[[#This Row],[日期]],源数据[账号id],源数据[[#This Row],[账号id]])</f>
        <v>1</v>
      </c>
      <c r="X325" s="15">
        <f>IFERROR(源数据[[#This Row],[点击量]]/源数据[[#This Row],[展示量]],"")</f>
        <v>0.0927021696252465</v>
      </c>
      <c r="Y325" s="16">
        <f>IFERROR(源数据[[#This Row],[播放量]]/源数据[[#This Row],[展示量]],"")</f>
        <v>0.211045364891519</v>
      </c>
      <c r="Z325" s="16">
        <f>IFERROR(源数据[[#This Row],[三连投放总消耗(毫分)]]/源数据[[#This Row],[播放量]],"")</f>
        <v>0.0443973831775701</v>
      </c>
      <c r="AA32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26" s="2" customFormat="1" spans="1:27">
      <c r="A326" s="7">
        <v>46204</v>
      </c>
      <c r="B326" s="8" t="s">
        <v>746</v>
      </c>
      <c r="C326" s="8" t="s">
        <v>747</v>
      </c>
      <c r="D326" s="8" t="s">
        <v>91</v>
      </c>
      <c r="E326" s="8" t="s">
        <v>92</v>
      </c>
      <c r="F326" s="8" t="s">
        <v>748</v>
      </c>
      <c r="G326" s="9">
        <v>2949</v>
      </c>
      <c r="H326" s="9">
        <v>29</v>
      </c>
      <c r="I326" s="10">
        <v>8.59741</v>
      </c>
      <c r="J326" s="11">
        <v>8.58</v>
      </c>
      <c r="K326" s="12">
        <f t="shared" si="35"/>
        <v>0.00983384198033232</v>
      </c>
      <c r="L326" s="13">
        <f t="shared" si="36"/>
        <v>2.91536453034927</v>
      </c>
      <c r="M326" s="13">
        <f t="shared" si="37"/>
        <v>0.296462413793103</v>
      </c>
      <c r="N326" s="11">
        <v>0</v>
      </c>
      <c r="O326" s="11">
        <v>0</v>
      </c>
      <c r="P326" s="11">
        <v>4.59</v>
      </c>
      <c r="Q326" s="13">
        <f t="shared" si="38"/>
        <v>0.533881715539913</v>
      </c>
      <c r="R326" s="11">
        <v>4.59</v>
      </c>
      <c r="S326" s="13">
        <f t="shared" si="39"/>
        <v>0.533881715539913</v>
      </c>
      <c r="T326" s="9">
        <v>4</v>
      </c>
      <c r="U326" s="13">
        <f t="shared" si="40"/>
        <v>0.465256396984673</v>
      </c>
      <c r="V326" s="12">
        <f t="shared" si="41"/>
        <v>0.00135639199728722</v>
      </c>
      <c r="W326" s="17">
        <f>COUNTIFS(源数据[日期],源数据[[#This Row],[日期]],源数据[账号id],源数据[[#This Row],[账号id]])</f>
        <v>1</v>
      </c>
      <c r="X326" s="15">
        <f>IFERROR(源数据[[#This Row],[点击量]]/源数据[[#This Row],[展示量]],"")</f>
        <v>0.00983384198033232</v>
      </c>
      <c r="Y326" s="16">
        <f>IFERROR(源数据[[#This Row],[播放量]]/源数据[[#This Row],[展示量]],"")</f>
        <v>0.00135639199728722</v>
      </c>
      <c r="Z326" s="16">
        <f>IFERROR(源数据[[#This Row],[三连投放总消耗(毫分)]]/源数据[[#This Row],[播放量]],"")</f>
        <v>2.1493525</v>
      </c>
      <c r="AA32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27" s="2" customFormat="1" spans="1:27">
      <c r="A327" s="7">
        <v>46204</v>
      </c>
      <c r="B327" s="8" t="s">
        <v>749</v>
      </c>
      <c r="C327" s="8" t="s">
        <v>750</v>
      </c>
      <c r="D327" s="8" t="s">
        <v>91</v>
      </c>
      <c r="E327" s="8" t="s">
        <v>92</v>
      </c>
      <c r="F327" s="8" t="s">
        <v>101</v>
      </c>
      <c r="G327" s="9">
        <v>714</v>
      </c>
      <c r="H327" s="9">
        <v>25</v>
      </c>
      <c r="I327" s="10">
        <v>8.41718</v>
      </c>
      <c r="J327" s="11">
        <v>8.3</v>
      </c>
      <c r="K327" s="12">
        <f t="shared" si="35"/>
        <v>0.0350140056022409</v>
      </c>
      <c r="L327" s="13">
        <f t="shared" si="36"/>
        <v>11.7887675070028</v>
      </c>
      <c r="M327" s="13">
        <f t="shared" si="37"/>
        <v>0.3366872</v>
      </c>
      <c r="N327" s="11">
        <v>0</v>
      </c>
      <c r="O327" s="11">
        <v>0</v>
      </c>
      <c r="P327" s="11">
        <v>7.45</v>
      </c>
      <c r="Q327" s="13">
        <f t="shared" si="38"/>
        <v>0.885094532848294</v>
      </c>
      <c r="R327" s="11">
        <v>7.45</v>
      </c>
      <c r="S327" s="13">
        <f t="shared" si="39"/>
        <v>0.885094532848294</v>
      </c>
      <c r="T327" s="9">
        <v>118</v>
      </c>
      <c r="U327" s="13">
        <f t="shared" si="40"/>
        <v>14.0189469632347</v>
      </c>
      <c r="V327" s="12">
        <f t="shared" si="41"/>
        <v>0.165266106442577</v>
      </c>
      <c r="W327" s="17">
        <f>COUNTIFS(源数据[日期],源数据[[#This Row],[日期]],源数据[账号id],源数据[[#This Row],[账号id]])</f>
        <v>1</v>
      </c>
      <c r="X327" s="15">
        <f>IFERROR(源数据[[#This Row],[点击量]]/源数据[[#This Row],[展示量]],"")</f>
        <v>0.0350140056022409</v>
      </c>
      <c r="Y327" s="16">
        <f>IFERROR(源数据[[#This Row],[播放量]]/源数据[[#This Row],[展示量]],"")</f>
        <v>0.165266106442577</v>
      </c>
      <c r="Z327" s="16">
        <f>IFERROR(源数据[[#This Row],[三连投放总消耗(毫分)]]/源数据[[#This Row],[播放量]],"")</f>
        <v>0.0713320338983051</v>
      </c>
      <c r="AA32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28" s="2" customFormat="1" spans="1:27">
      <c r="A328" s="7">
        <v>46204</v>
      </c>
      <c r="B328" s="8" t="s">
        <v>751</v>
      </c>
      <c r="C328" s="8" t="s">
        <v>752</v>
      </c>
      <c r="D328" s="8" t="s">
        <v>91</v>
      </c>
      <c r="E328" s="8" t="s">
        <v>92</v>
      </c>
      <c r="F328" s="8" t="s">
        <v>96</v>
      </c>
      <c r="G328" s="9">
        <v>1107</v>
      </c>
      <c r="H328" s="9">
        <v>13</v>
      </c>
      <c r="I328" s="10">
        <v>6.41123</v>
      </c>
      <c r="J328" s="11">
        <v>6.4</v>
      </c>
      <c r="K328" s="12">
        <f t="shared" si="35"/>
        <v>0.011743450767841</v>
      </c>
      <c r="L328" s="13">
        <f t="shared" si="36"/>
        <v>5.79153568202349</v>
      </c>
      <c r="M328" s="13">
        <f t="shared" si="37"/>
        <v>0.493171538461538</v>
      </c>
      <c r="N328" s="11">
        <v>0</v>
      </c>
      <c r="O328" s="11">
        <v>0</v>
      </c>
      <c r="P328" s="11">
        <v>7.05</v>
      </c>
      <c r="Q328" s="13">
        <f t="shared" si="38"/>
        <v>1.09963298774182</v>
      </c>
      <c r="R328" s="11">
        <v>7.05</v>
      </c>
      <c r="S328" s="13">
        <f t="shared" si="39"/>
        <v>1.09963298774182</v>
      </c>
      <c r="T328" s="9">
        <v>153</v>
      </c>
      <c r="U328" s="13">
        <f t="shared" si="40"/>
        <v>23.8643754786523</v>
      </c>
      <c r="V328" s="12">
        <f t="shared" si="41"/>
        <v>0.138211382113821</v>
      </c>
      <c r="W328" s="17">
        <f>COUNTIFS(源数据[日期],源数据[[#This Row],[日期]],源数据[账号id],源数据[[#This Row],[账号id]])</f>
        <v>1</v>
      </c>
      <c r="X328" s="15">
        <f>IFERROR(源数据[[#This Row],[点击量]]/源数据[[#This Row],[展示量]],"")</f>
        <v>0.011743450767841</v>
      </c>
      <c r="Y328" s="16">
        <f>IFERROR(源数据[[#This Row],[播放量]]/源数据[[#This Row],[展示量]],"")</f>
        <v>0.138211382113821</v>
      </c>
      <c r="Z328" s="16">
        <f>IFERROR(源数据[[#This Row],[三连投放总消耗(毫分)]]/源数据[[#This Row],[播放量]],"")</f>
        <v>0.0419034640522876</v>
      </c>
      <c r="AA32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29" s="2" customFormat="1" spans="1:27">
      <c r="A329" s="7">
        <v>46204</v>
      </c>
      <c r="B329" s="8" t="s">
        <v>753</v>
      </c>
      <c r="C329" s="8" t="s">
        <v>754</v>
      </c>
      <c r="D329" s="8" t="s">
        <v>91</v>
      </c>
      <c r="E329" s="8" t="s">
        <v>92</v>
      </c>
      <c r="F329" s="8" t="s">
        <v>101</v>
      </c>
      <c r="G329" s="9">
        <v>1316</v>
      </c>
      <c r="H329" s="9">
        <v>22</v>
      </c>
      <c r="I329" s="10">
        <v>6.33316</v>
      </c>
      <c r="J329" s="11">
        <v>6.23</v>
      </c>
      <c r="K329" s="12">
        <f t="shared" si="35"/>
        <v>0.0167173252279635</v>
      </c>
      <c r="L329" s="13">
        <f t="shared" si="36"/>
        <v>4.81243161094225</v>
      </c>
      <c r="M329" s="13">
        <f t="shared" si="37"/>
        <v>0.287870909090909</v>
      </c>
      <c r="N329" s="11">
        <v>0</v>
      </c>
      <c r="O329" s="11">
        <v>0</v>
      </c>
      <c r="P329" s="11">
        <v>6.67</v>
      </c>
      <c r="Q329" s="13">
        <f t="shared" si="38"/>
        <v>1.05318671879441</v>
      </c>
      <c r="R329" s="11">
        <v>6.67</v>
      </c>
      <c r="S329" s="13">
        <f t="shared" si="39"/>
        <v>1.05318671879441</v>
      </c>
      <c r="T329" s="9">
        <v>247</v>
      </c>
      <c r="U329" s="13">
        <f t="shared" si="40"/>
        <v>39.001067397634</v>
      </c>
      <c r="V329" s="12">
        <f t="shared" si="41"/>
        <v>0.187689969604863</v>
      </c>
      <c r="W329" s="17">
        <f>COUNTIFS(源数据[日期],源数据[[#This Row],[日期]],源数据[账号id],源数据[[#This Row],[账号id]])</f>
        <v>1</v>
      </c>
      <c r="X329" s="15">
        <f>IFERROR(源数据[[#This Row],[点击量]]/源数据[[#This Row],[展示量]],"")</f>
        <v>0.0167173252279635</v>
      </c>
      <c r="Y329" s="16">
        <f>IFERROR(源数据[[#This Row],[播放量]]/源数据[[#This Row],[展示量]],"")</f>
        <v>0.187689969604863</v>
      </c>
      <c r="Z329" s="16">
        <f>IFERROR(源数据[[#This Row],[三连投放总消耗(毫分)]]/源数据[[#This Row],[播放量]],"")</f>
        <v>0.0256403238866397</v>
      </c>
      <c r="AA32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30" s="2" customFormat="1" spans="1:27">
      <c r="A330" s="7">
        <v>46204</v>
      </c>
      <c r="B330" s="8" t="s">
        <v>755</v>
      </c>
      <c r="C330" s="8" t="s">
        <v>756</v>
      </c>
      <c r="D330" s="8" t="s">
        <v>91</v>
      </c>
      <c r="E330" s="8" t="s">
        <v>92</v>
      </c>
      <c r="F330" s="8" t="s">
        <v>96</v>
      </c>
      <c r="G330" s="9">
        <v>1280</v>
      </c>
      <c r="H330" s="9">
        <v>17</v>
      </c>
      <c r="I330" s="10">
        <v>5.81439</v>
      </c>
      <c r="J330" s="11">
        <v>5.81</v>
      </c>
      <c r="K330" s="12">
        <f t="shared" si="35"/>
        <v>0.01328125</v>
      </c>
      <c r="L330" s="13">
        <f t="shared" si="36"/>
        <v>4.5424921875</v>
      </c>
      <c r="M330" s="13">
        <f t="shared" si="37"/>
        <v>0.342022941176471</v>
      </c>
      <c r="N330" s="11">
        <v>0</v>
      </c>
      <c r="O330" s="11">
        <v>0</v>
      </c>
      <c r="P330" s="11">
        <v>4.56</v>
      </c>
      <c r="Q330" s="13">
        <f t="shared" si="38"/>
        <v>0.784261117675285</v>
      </c>
      <c r="R330" s="11">
        <v>4.56</v>
      </c>
      <c r="S330" s="13">
        <f t="shared" si="39"/>
        <v>0.784261117675285</v>
      </c>
      <c r="T330" s="9">
        <v>124</v>
      </c>
      <c r="U330" s="13">
        <f t="shared" si="40"/>
        <v>21.326398813977</v>
      </c>
      <c r="V330" s="12">
        <f t="shared" si="41"/>
        <v>0.096875</v>
      </c>
      <c r="W330" s="17">
        <f>COUNTIFS(源数据[日期],源数据[[#This Row],[日期]],源数据[账号id],源数据[[#This Row],[账号id]])</f>
        <v>1</v>
      </c>
      <c r="X330" s="15">
        <f>IFERROR(源数据[[#This Row],[点击量]]/源数据[[#This Row],[展示量]],"")</f>
        <v>0.01328125</v>
      </c>
      <c r="Y330" s="16">
        <f>IFERROR(源数据[[#This Row],[播放量]]/源数据[[#This Row],[展示量]],"")</f>
        <v>0.096875</v>
      </c>
      <c r="Z330" s="16">
        <f>IFERROR(源数据[[#This Row],[三连投放总消耗(毫分)]]/源数据[[#This Row],[播放量]],"")</f>
        <v>0.0468902419354839</v>
      </c>
      <c r="AA33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31" s="2" customFormat="1" spans="1:27">
      <c r="A331" s="7">
        <v>46204</v>
      </c>
      <c r="B331" s="8" t="s">
        <v>757</v>
      </c>
      <c r="C331" s="8" t="s">
        <v>758</v>
      </c>
      <c r="D331" s="8" t="s">
        <v>91</v>
      </c>
      <c r="E331" s="8" t="s">
        <v>92</v>
      </c>
      <c r="F331" s="8" t="s">
        <v>213</v>
      </c>
      <c r="G331" s="9">
        <v>679</v>
      </c>
      <c r="H331" s="9">
        <v>20</v>
      </c>
      <c r="I331" s="10">
        <v>5.27953</v>
      </c>
      <c r="J331" s="11">
        <v>5.26</v>
      </c>
      <c r="K331" s="12">
        <f t="shared" si="35"/>
        <v>0.0294550810014728</v>
      </c>
      <c r="L331" s="13">
        <f t="shared" si="36"/>
        <v>7.77544918998527</v>
      </c>
      <c r="M331" s="13">
        <f t="shared" si="37"/>
        <v>0.2639765</v>
      </c>
      <c r="N331" s="11">
        <v>0</v>
      </c>
      <c r="O331" s="11">
        <v>0</v>
      </c>
      <c r="P331" s="11">
        <v>3.11</v>
      </c>
      <c r="Q331" s="13">
        <f t="shared" si="38"/>
        <v>0.589067587455702</v>
      </c>
      <c r="R331" s="11">
        <v>3.11</v>
      </c>
      <c r="S331" s="13">
        <f t="shared" si="39"/>
        <v>0.589067587455702</v>
      </c>
      <c r="T331" s="9">
        <v>178</v>
      </c>
      <c r="U331" s="13">
        <f t="shared" si="40"/>
        <v>33.7151223688472</v>
      </c>
      <c r="V331" s="12">
        <f t="shared" si="41"/>
        <v>0.262150220913108</v>
      </c>
      <c r="W331" s="17">
        <f>COUNTIFS(源数据[日期],源数据[[#This Row],[日期]],源数据[账号id],源数据[[#This Row],[账号id]])</f>
        <v>1</v>
      </c>
      <c r="X331" s="15">
        <f>IFERROR(源数据[[#This Row],[点击量]]/源数据[[#This Row],[展示量]],"")</f>
        <v>0.0294550810014728</v>
      </c>
      <c r="Y331" s="16">
        <f>IFERROR(源数据[[#This Row],[播放量]]/源数据[[#This Row],[展示量]],"")</f>
        <v>0.262150220913108</v>
      </c>
      <c r="Z331" s="16">
        <f>IFERROR(源数据[[#This Row],[三连投放总消耗(毫分)]]/源数据[[#This Row],[播放量]],"")</f>
        <v>0.0296602808988764</v>
      </c>
      <c r="AA33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32" s="2" customFormat="1" spans="1:27">
      <c r="A332" s="7">
        <v>46204</v>
      </c>
      <c r="B332" s="8" t="s">
        <v>759</v>
      </c>
      <c r="C332" s="8" t="s">
        <v>760</v>
      </c>
      <c r="D332" s="8" t="s">
        <v>91</v>
      </c>
      <c r="E332" s="8" t="s">
        <v>92</v>
      </c>
      <c r="F332" s="8" t="s">
        <v>96</v>
      </c>
      <c r="G332" s="9">
        <v>1379</v>
      </c>
      <c r="H332" s="9">
        <v>10</v>
      </c>
      <c r="I332" s="10">
        <v>5.02674</v>
      </c>
      <c r="J332" s="11">
        <v>5.02</v>
      </c>
      <c r="K332" s="12">
        <f t="shared" si="35"/>
        <v>0.00725163161711385</v>
      </c>
      <c r="L332" s="13">
        <f t="shared" si="36"/>
        <v>3.64520667150109</v>
      </c>
      <c r="M332" s="13">
        <f t="shared" si="37"/>
        <v>0.502674</v>
      </c>
      <c r="N332" s="11">
        <v>0</v>
      </c>
      <c r="O332" s="11">
        <v>0</v>
      </c>
      <c r="P332" s="11">
        <v>2.85</v>
      </c>
      <c r="Q332" s="13">
        <f t="shared" si="38"/>
        <v>0.566967855906611</v>
      </c>
      <c r="R332" s="11">
        <v>2.85</v>
      </c>
      <c r="S332" s="13">
        <f t="shared" si="39"/>
        <v>0.566967855906611</v>
      </c>
      <c r="T332" s="9">
        <v>138</v>
      </c>
      <c r="U332" s="13">
        <f t="shared" si="40"/>
        <v>27.4531803912675</v>
      </c>
      <c r="V332" s="12">
        <f t="shared" si="41"/>
        <v>0.100072516316171</v>
      </c>
      <c r="W332" s="17">
        <f>COUNTIFS(源数据[日期],源数据[[#This Row],[日期]],源数据[账号id],源数据[[#This Row],[账号id]])</f>
        <v>1</v>
      </c>
      <c r="X332" s="15">
        <f>IFERROR(源数据[[#This Row],[点击量]]/源数据[[#This Row],[展示量]],"")</f>
        <v>0.00725163161711385</v>
      </c>
      <c r="Y332" s="16">
        <f>IFERROR(源数据[[#This Row],[播放量]]/源数据[[#This Row],[展示量]],"")</f>
        <v>0.100072516316171</v>
      </c>
      <c r="Z332" s="16">
        <f>IFERROR(源数据[[#This Row],[三连投放总消耗(毫分)]]/源数据[[#This Row],[播放量]],"")</f>
        <v>0.036425652173913</v>
      </c>
      <c r="AA33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33" s="2" customFormat="1" spans="1:27">
      <c r="A333" s="7">
        <v>46204</v>
      </c>
      <c r="B333" s="8" t="s">
        <v>761</v>
      </c>
      <c r="C333" s="8" t="s">
        <v>762</v>
      </c>
      <c r="D333" s="8" t="s">
        <v>91</v>
      </c>
      <c r="E333" s="8" t="s">
        <v>92</v>
      </c>
      <c r="F333" s="8" t="s">
        <v>96</v>
      </c>
      <c r="G333" s="9">
        <v>844</v>
      </c>
      <c r="H333" s="9">
        <v>13</v>
      </c>
      <c r="I333" s="10">
        <v>4.85945</v>
      </c>
      <c r="J333" s="11">
        <v>4.85</v>
      </c>
      <c r="K333" s="12">
        <f t="shared" si="35"/>
        <v>0.0154028436018957</v>
      </c>
      <c r="L333" s="13">
        <f t="shared" si="36"/>
        <v>5.75764218009479</v>
      </c>
      <c r="M333" s="13">
        <f t="shared" si="37"/>
        <v>0.373803846153846</v>
      </c>
      <c r="N333" s="11">
        <v>0</v>
      </c>
      <c r="O333" s="11">
        <v>0</v>
      </c>
      <c r="P333" s="11">
        <v>4.32</v>
      </c>
      <c r="Q333" s="13">
        <f t="shared" si="38"/>
        <v>0.888989494695902</v>
      </c>
      <c r="R333" s="11">
        <v>4.32</v>
      </c>
      <c r="S333" s="13">
        <f t="shared" si="39"/>
        <v>0.888989494695902</v>
      </c>
      <c r="T333" s="9">
        <v>127</v>
      </c>
      <c r="U333" s="13">
        <f t="shared" si="40"/>
        <v>26.1346448672175</v>
      </c>
      <c r="V333" s="12">
        <f t="shared" si="41"/>
        <v>0.150473933649289</v>
      </c>
      <c r="W333" s="17">
        <f>COUNTIFS(源数据[日期],源数据[[#This Row],[日期]],源数据[账号id],源数据[[#This Row],[账号id]])</f>
        <v>1</v>
      </c>
      <c r="X333" s="15">
        <f>IFERROR(源数据[[#This Row],[点击量]]/源数据[[#This Row],[展示量]],"")</f>
        <v>0.0154028436018957</v>
      </c>
      <c r="Y333" s="16">
        <f>IFERROR(源数据[[#This Row],[播放量]]/源数据[[#This Row],[展示量]],"")</f>
        <v>0.150473933649289</v>
      </c>
      <c r="Z333" s="16">
        <f>IFERROR(源数据[[#This Row],[三连投放总消耗(毫分)]]/源数据[[#This Row],[播放量]],"")</f>
        <v>0.0382633858267717</v>
      </c>
      <c r="AA33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34" s="2" customFormat="1" spans="1:27">
      <c r="A334" s="7">
        <v>46204</v>
      </c>
      <c r="B334" s="8" t="s">
        <v>763</v>
      </c>
      <c r="C334" s="8" t="s">
        <v>764</v>
      </c>
      <c r="D334" s="8" t="s">
        <v>91</v>
      </c>
      <c r="E334" s="8" t="s">
        <v>92</v>
      </c>
      <c r="F334" s="8" t="s">
        <v>96</v>
      </c>
      <c r="G334" s="9">
        <v>902</v>
      </c>
      <c r="H334" s="9">
        <v>15</v>
      </c>
      <c r="I334" s="10">
        <v>4.48759</v>
      </c>
      <c r="J334" s="11">
        <v>4.48</v>
      </c>
      <c r="K334" s="12">
        <f t="shared" si="35"/>
        <v>0.016629711751663</v>
      </c>
      <c r="L334" s="13">
        <f t="shared" si="36"/>
        <v>4.97515521064302</v>
      </c>
      <c r="M334" s="13">
        <f t="shared" si="37"/>
        <v>0.299172666666667</v>
      </c>
      <c r="N334" s="11">
        <v>0</v>
      </c>
      <c r="O334" s="11">
        <v>0</v>
      </c>
      <c r="P334" s="11">
        <v>4.29</v>
      </c>
      <c r="Q334" s="13">
        <f t="shared" si="38"/>
        <v>0.955969685287649</v>
      </c>
      <c r="R334" s="11">
        <v>4.29</v>
      </c>
      <c r="S334" s="13">
        <f t="shared" si="39"/>
        <v>0.955969685287649</v>
      </c>
      <c r="T334" s="9">
        <v>158</v>
      </c>
      <c r="U334" s="13">
        <f t="shared" si="40"/>
        <v>35.2082075234146</v>
      </c>
      <c r="V334" s="12">
        <f t="shared" si="41"/>
        <v>0.175166297117517</v>
      </c>
      <c r="W334" s="17">
        <f>COUNTIFS(源数据[日期],源数据[[#This Row],[日期]],源数据[账号id],源数据[[#This Row],[账号id]])</f>
        <v>1</v>
      </c>
      <c r="X334" s="15">
        <f>IFERROR(源数据[[#This Row],[点击量]]/源数据[[#This Row],[展示量]],"")</f>
        <v>0.016629711751663</v>
      </c>
      <c r="Y334" s="16">
        <f>IFERROR(源数据[[#This Row],[播放量]]/源数据[[#This Row],[展示量]],"")</f>
        <v>0.175166297117517</v>
      </c>
      <c r="Z334" s="16">
        <f>IFERROR(源数据[[#This Row],[三连投放总消耗(毫分)]]/源数据[[#This Row],[播放量]],"")</f>
        <v>0.0284024683544304</v>
      </c>
      <c r="AA33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35" s="2" customFormat="1" spans="1:27">
      <c r="A335" s="7">
        <v>46204</v>
      </c>
      <c r="B335" s="8" t="s">
        <v>765</v>
      </c>
      <c r="C335" s="8" t="s">
        <v>766</v>
      </c>
      <c r="D335" s="8" t="s">
        <v>91</v>
      </c>
      <c r="E335" s="8" t="s">
        <v>92</v>
      </c>
      <c r="F335" s="8" t="s">
        <v>101</v>
      </c>
      <c r="G335" s="9">
        <v>607</v>
      </c>
      <c r="H335" s="9">
        <v>15</v>
      </c>
      <c r="I335" s="10">
        <v>4.34211</v>
      </c>
      <c r="J335" s="11">
        <v>4.25</v>
      </c>
      <c r="K335" s="12">
        <f t="shared" si="35"/>
        <v>0.0247116968698517</v>
      </c>
      <c r="L335" s="13">
        <f t="shared" si="36"/>
        <v>7.15339373970346</v>
      </c>
      <c r="M335" s="13">
        <f t="shared" si="37"/>
        <v>0.289474</v>
      </c>
      <c r="N335" s="11">
        <v>0</v>
      </c>
      <c r="O335" s="11">
        <v>0</v>
      </c>
      <c r="P335" s="11">
        <v>5.36</v>
      </c>
      <c r="Q335" s="13">
        <f t="shared" si="38"/>
        <v>1.23442289578108</v>
      </c>
      <c r="R335" s="11">
        <v>5.36</v>
      </c>
      <c r="S335" s="13">
        <f t="shared" si="39"/>
        <v>1.23442289578108</v>
      </c>
      <c r="T335" s="9">
        <v>165</v>
      </c>
      <c r="U335" s="13">
        <f t="shared" si="40"/>
        <v>37.9999585454998</v>
      </c>
      <c r="V335" s="12">
        <f t="shared" si="41"/>
        <v>0.271828665568369</v>
      </c>
      <c r="W335" s="17">
        <f>COUNTIFS(源数据[日期],源数据[[#This Row],[日期]],源数据[账号id],源数据[[#This Row],[账号id]])</f>
        <v>1</v>
      </c>
      <c r="X335" s="15">
        <f>IFERROR(源数据[[#This Row],[点击量]]/源数据[[#This Row],[展示量]],"")</f>
        <v>0.0247116968698517</v>
      </c>
      <c r="Y335" s="16">
        <f>IFERROR(源数据[[#This Row],[播放量]]/源数据[[#This Row],[展示量]],"")</f>
        <v>0.271828665568369</v>
      </c>
      <c r="Z335" s="16">
        <f>IFERROR(源数据[[#This Row],[三连投放总消耗(毫分)]]/源数据[[#This Row],[播放量]],"")</f>
        <v>0.0263158181818182</v>
      </c>
      <c r="AA33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36" s="2" customFormat="1" spans="1:27">
      <c r="A336" s="7">
        <v>46204</v>
      </c>
      <c r="B336" s="8" t="s">
        <v>767</v>
      </c>
      <c r="C336" s="8" t="s">
        <v>768</v>
      </c>
      <c r="D336" s="8" t="s">
        <v>91</v>
      </c>
      <c r="E336" s="8" t="s">
        <v>92</v>
      </c>
      <c r="F336" s="8" t="s">
        <v>96</v>
      </c>
      <c r="G336" s="9">
        <v>1120</v>
      </c>
      <c r="H336" s="9">
        <v>17</v>
      </c>
      <c r="I336" s="10">
        <v>4.01477</v>
      </c>
      <c r="J336" s="11">
        <v>4</v>
      </c>
      <c r="K336" s="12">
        <f t="shared" si="35"/>
        <v>0.0151785714285714</v>
      </c>
      <c r="L336" s="13">
        <f t="shared" si="36"/>
        <v>3.58461607142857</v>
      </c>
      <c r="M336" s="13">
        <f t="shared" si="37"/>
        <v>0.236162941176471</v>
      </c>
      <c r="N336" s="11">
        <v>0</v>
      </c>
      <c r="O336" s="11">
        <v>0</v>
      </c>
      <c r="P336" s="11">
        <v>2.72</v>
      </c>
      <c r="Q336" s="13">
        <f t="shared" si="38"/>
        <v>0.67749833738919</v>
      </c>
      <c r="R336" s="11">
        <v>2.72</v>
      </c>
      <c r="S336" s="13">
        <f t="shared" si="39"/>
        <v>0.67749833738919</v>
      </c>
      <c r="T336" s="9">
        <v>130</v>
      </c>
      <c r="U336" s="13">
        <f t="shared" si="40"/>
        <v>32.3804352428657</v>
      </c>
      <c r="V336" s="12">
        <f t="shared" si="41"/>
        <v>0.116071428571429</v>
      </c>
      <c r="W336" s="17">
        <f>COUNTIFS(源数据[日期],源数据[[#This Row],[日期]],源数据[账号id],源数据[[#This Row],[账号id]])</f>
        <v>1</v>
      </c>
      <c r="X336" s="15">
        <f>IFERROR(源数据[[#This Row],[点击量]]/源数据[[#This Row],[展示量]],"")</f>
        <v>0.0151785714285714</v>
      </c>
      <c r="Y336" s="16">
        <f>IFERROR(源数据[[#This Row],[播放量]]/源数据[[#This Row],[展示量]],"")</f>
        <v>0.116071428571429</v>
      </c>
      <c r="Z336" s="16">
        <f>IFERROR(源数据[[#This Row],[三连投放总消耗(毫分)]]/源数据[[#This Row],[播放量]],"")</f>
        <v>0.0308828461538462</v>
      </c>
      <c r="AA33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37" s="2" customFormat="1" spans="1:27">
      <c r="A337" s="7">
        <v>46204</v>
      </c>
      <c r="B337" s="8" t="s">
        <v>769</v>
      </c>
      <c r="C337" s="8" t="s">
        <v>770</v>
      </c>
      <c r="D337" s="8" t="s">
        <v>91</v>
      </c>
      <c r="E337" s="8" t="s">
        <v>92</v>
      </c>
      <c r="F337" s="8" t="s">
        <v>96</v>
      </c>
      <c r="G337" s="9">
        <v>468</v>
      </c>
      <c r="H337" s="9">
        <v>10</v>
      </c>
      <c r="I337" s="10">
        <v>3.84972</v>
      </c>
      <c r="J337" s="11">
        <v>3.84</v>
      </c>
      <c r="K337" s="12">
        <f t="shared" si="35"/>
        <v>0.0213675213675214</v>
      </c>
      <c r="L337" s="13">
        <f t="shared" si="36"/>
        <v>8.22589743589744</v>
      </c>
      <c r="M337" s="13">
        <f t="shared" si="37"/>
        <v>0.384972</v>
      </c>
      <c r="N337" s="11">
        <v>0</v>
      </c>
      <c r="O337" s="11">
        <v>0</v>
      </c>
      <c r="P337" s="11">
        <v>2.97</v>
      </c>
      <c r="Q337" s="13">
        <f t="shared" si="38"/>
        <v>0.771484679405255</v>
      </c>
      <c r="R337" s="11">
        <v>2.97</v>
      </c>
      <c r="S337" s="13">
        <f t="shared" si="39"/>
        <v>0.771484679405255</v>
      </c>
      <c r="T337" s="9">
        <v>83</v>
      </c>
      <c r="U337" s="13">
        <f t="shared" si="40"/>
        <v>21.5600095591368</v>
      </c>
      <c r="V337" s="12">
        <f t="shared" si="41"/>
        <v>0.177350427350427</v>
      </c>
      <c r="W337" s="17">
        <f>COUNTIFS(源数据[日期],源数据[[#This Row],[日期]],源数据[账号id],源数据[[#This Row],[账号id]])</f>
        <v>1</v>
      </c>
      <c r="X337" s="15">
        <f>IFERROR(源数据[[#This Row],[点击量]]/源数据[[#This Row],[展示量]],"")</f>
        <v>0.0213675213675214</v>
      </c>
      <c r="Y337" s="16">
        <f>IFERROR(源数据[[#This Row],[播放量]]/源数据[[#This Row],[展示量]],"")</f>
        <v>0.177350427350427</v>
      </c>
      <c r="Z337" s="16">
        <f>IFERROR(源数据[[#This Row],[三连投放总消耗(毫分)]]/源数据[[#This Row],[播放量]],"")</f>
        <v>0.0463821686746988</v>
      </c>
      <c r="AA33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38" s="2" customFormat="1" spans="1:27">
      <c r="A338" s="7">
        <v>46204</v>
      </c>
      <c r="B338" s="8" t="s">
        <v>771</v>
      </c>
      <c r="C338" s="8" t="s">
        <v>772</v>
      </c>
      <c r="D338" s="8" t="s">
        <v>91</v>
      </c>
      <c r="E338" s="8" t="s">
        <v>92</v>
      </c>
      <c r="F338" s="8" t="s">
        <v>96</v>
      </c>
      <c r="G338" s="9">
        <v>445</v>
      </c>
      <c r="H338" s="9">
        <v>10</v>
      </c>
      <c r="I338" s="10">
        <v>3.57097</v>
      </c>
      <c r="J338" s="11">
        <v>3.56</v>
      </c>
      <c r="K338" s="12">
        <f t="shared" si="35"/>
        <v>0.0224719101123595</v>
      </c>
      <c r="L338" s="13">
        <f t="shared" si="36"/>
        <v>8.02465168539326</v>
      </c>
      <c r="M338" s="13">
        <f t="shared" si="37"/>
        <v>0.357097</v>
      </c>
      <c r="N338" s="11">
        <v>0</v>
      </c>
      <c r="O338" s="11">
        <v>0</v>
      </c>
      <c r="P338" s="11">
        <v>1.5</v>
      </c>
      <c r="Q338" s="13">
        <f t="shared" si="38"/>
        <v>0.420053934925244</v>
      </c>
      <c r="R338" s="11">
        <v>1.5</v>
      </c>
      <c r="S338" s="13">
        <f t="shared" si="39"/>
        <v>0.420053934925244</v>
      </c>
      <c r="T338" s="9">
        <v>105</v>
      </c>
      <c r="U338" s="13">
        <f t="shared" si="40"/>
        <v>29.4037754447671</v>
      </c>
      <c r="V338" s="12">
        <f t="shared" si="41"/>
        <v>0.235955056179775</v>
      </c>
      <c r="W338" s="17">
        <f>COUNTIFS(源数据[日期],源数据[[#This Row],[日期]],源数据[账号id],源数据[[#This Row],[账号id]])</f>
        <v>1</v>
      </c>
      <c r="X338" s="15">
        <f>IFERROR(源数据[[#This Row],[点击量]]/源数据[[#This Row],[展示量]],"")</f>
        <v>0.0224719101123595</v>
      </c>
      <c r="Y338" s="16">
        <f>IFERROR(源数据[[#This Row],[播放量]]/源数据[[#This Row],[展示量]],"")</f>
        <v>0.235955056179775</v>
      </c>
      <c r="Z338" s="16">
        <f>IFERROR(源数据[[#This Row],[三连投放总消耗(毫分)]]/源数据[[#This Row],[播放量]],"")</f>
        <v>0.0340092380952381</v>
      </c>
      <c r="AA33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39" s="2" customFormat="1" spans="1:27">
      <c r="A339" s="7">
        <v>46204</v>
      </c>
      <c r="B339" s="8" t="s">
        <v>773</v>
      </c>
      <c r="C339" s="8" t="s">
        <v>774</v>
      </c>
      <c r="D339" s="8" t="s">
        <v>91</v>
      </c>
      <c r="E339" s="8" t="s">
        <v>92</v>
      </c>
      <c r="F339" s="8" t="s">
        <v>115</v>
      </c>
      <c r="G339" s="9">
        <v>14667</v>
      </c>
      <c r="H339" s="9">
        <v>63</v>
      </c>
      <c r="I339" s="10">
        <v>3.42095</v>
      </c>
      <c r="J339" s="11">
        <v>3.36</v>
      </c>
      <c r="K339" s="12">
        <f t="shared" si="35"/>
        <v>0.00429535692370628</v>
      </c>
      <c r="L339" s="13">
        <f t="shared" si="36"/>
        <v>0.233241289970682</v>
      </c>
      <c r="M339" s="13">
        <f t="shared" si="37"/>
        <v>0.0543007936507936</v>
      </c>
      <c r="N339" s="11">
        <v>0</v>
      </c>
      <c r="O339" s="11">
        <v>0</v>
      </c>
      <c r="P339" s="11">
        <v>5.63</v>
      </c>
      <c r="Q339" s="13">
        <f t="shared" si="38"/>
        <v>1.64574167994271</v>
      </c>
      <c r="R339" s="11">
        <v>5.63</v>
      </c>
      <c r="S339" s="13">
        <f t="shared" si="39"/>
        <v>1.64574167994271</v>
      </c>
      <c r="T339" s="9">
        <v>81</v>
      </c>
      <c r="U339" s="13">
        <f t="shared" si="40"/>
        <v>23.6776334059253</v>
      </c>
      <c r="V339" s="12">
        <f t="shared" si="41"/>
        <v>0.00552260175905093</v>
      </c>
      <c r="W339" s="17">
        <f>COUNTIFS(源数据[日期],源数据[[#This Row],[日期]],源数据[账号id],源数据[[#This Row],[账号id]])</f>
        <v>1</v>
      </c>
      <c r="X339" s="15">
        <f>IFERROR(源数据[[#This Row],[点击量]]/源数据[[#This Row],[展示量]],"")</f>
        <v>0.00429535692370628</v>
      </c>
      <c r="Y339" s="16">
        <f>IFERROR(源数据[[#This Row],[播放量]]/源数据[[#This Row],[展示量]],"")</f>
        <v>0.00552260175905093</v>
      </c>
      <c r="Z339" s="16">
        <f>IFERROR(源数据[[#This Row],[三连投放总消耗(毫分)]]/源数据[[#This Row],[播放量]],"")</f>
        <v>0.042233950617284</v>
      </c>
      <c r="AA33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40" s="2" customFormat="1" spans="1:27">
      <c r="A340" s="7">
        <v>46204</v>
      </c>
      <c r="B340" s="8" t="s">
        <v>775</v>
      </c>
      <c r="C340" s="8" t="s">
        <v>776</v>
      </c>
      <c r="D340" s="8" t="s">
        <v>91</v>
      </c>
      <c r="E340" s="8" t="s">
        <v>92</v>
      </c>
      <c r="F340" s="8" t="s">
        <v>96</v>
      </c>
      <c r="G340" s="9">
        <v>381</v>
      </c>
      <c r="H340" s="9">
        <v>10</v>
      </c>
      <c r="I340" s="10">
        <v>3.33179</v>
      </c>
      <c r="J340" s="11">
        <v>3.32</v>
      </c>
      <c r="K340" s="12">
        <f t="shared" si="35"/>
        <v>0.026246719160105</v>
      </c>
      <c r="L340" s="13">
        <f t="shared" si="36"/>
        <v>8.74485564304462</v>
      </c>
      <c r="M340" s="13">
        <f t="shared" si="37"/>
        <v>0.333179</v>
      </c>
      <c r="N340" s="11">
        <v>0</v>
      </c>
      <c r="O340" s="11">
        <v>0</v>
      </c>
      <c r="P340" s="11">
        <v>3.26</v>
      </c>
      <c r="Q340" s="13">
        <f t="shared" si="38"/>
        <v>0.978453023749996</v>
      </c>
      <c r="R340" s="11">
        <v>3.26</v>
      </c>
      <c r="S340" s="13">
        <f t="shared" si="39"/>
        <v>0.978453023749996</v>
      </c>
      <c r="T340" s="9">
        <v>98</v>
      </c>
      <c r="U340" s="13">
        <f t="shared" si="40"/>
        <v>29.413618505368</v>
      </c>
      <c r="V340" s="12">
        <f t="shared" si="41"/>
        <v>0.257217847769029</v>
      </c>
      <c r="W340" s="17">
        <f>COUNTIFS(源数据[日期],源数据[[#This Row],[日期]],源数据[账号id],源数据[[#This Row],[账号id]])</f>
        <v>1</v>
      </c>
      <c r="X340" s="15">
        <f>IFERROR(源数据[[#This Row],[点击量]]/源数据[[#This Row],[展示量]],"")</f>
        <v>0.026246719160105</v>
      </c>
      <c r="Y340" s="16">
        <f>IFERROR(源数据[[#This Row],[播放量]]/源数据[[#This Row],[展示量]],"")</f>
        <v>0.257217847769029</v>
      </c>
      <c r="Z340" s="16">
        <f>IFERROR(源数据[[#This Row],[三连投放总消耗(毫分)]]/源数据[[#This Row],[播放量]],"")</f>
        <v>0.0339978571428571</v>
      </c>
      <c r="AA34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41" s="2" customFormat="1" spans="1:27">
      <c r="A341" s="7">
        <v>46204</v>
      </c>
      <c r="B341" s="8" t="s">
        <v>777</v>
      </c>
      <c r="C341" s="8" t="s">
        <v>778</v>
      </c>
      <c r="D341" s="8" t="s">
        <v>91</v>
      </c>
      <c r="E341" s="8" t="s">
        <v>92</v>
      </c>
      <c r="F341" s="8" t="s">
        <v>96</v>
      </c>
      <c r="G341" s="9">
        <v>711</v>
      </c>
      <c r="H341" s="9">
        <v>19</v>
      </c>
      <c r="I341" s="10">
        <v>3.17065</v>
      </c>
      <c r="J341" s="11">
        <v>3.17</v>
      </c>
      <c r="K341" s="12">
        <f t="shared" si="35"/>
        <v>0.0267229254571027</v>
      </c>
      <c r="L341" s="13">
        <f t="shared" si="36"/>
        <v>4.45942334739803</v>
      </c>
      <c r="M341" s="13">
        <f t="shared" si="37"/>
        <v>0.166876315789474</v>
      </c>
      <c r="N341" s="11">
        <v>0</v>
      </c>
      <c r="O341" s="11">
        <v>0</v>
      </c>
      <c r="P341" s="11">
        <v>4.87</v>
      </c>
      <c r="Q341" s="13">
        <f t="shared" si="38"/>
        <v>1.53596265749925</v>
      </c>
      <c r="R341" s="11">
        <v>4.87</v>
      </c>
      <c r="S341" s="13">
        <f t="shared" si="39"/>
        <v>1.53596265749925</v>
      </c>
      <c r="T341" s="9">
        <v>50</v>
      </c>
      <c r="U341" s="13">
        <f t="shared" si="40"/>
        <v>15.7696371406494</v>
      </c>
      <c r="V341" s="12">
        <f t="shared" si="41"/>
        <v>0.070323488045007</v>
      </c>
      <c r="W341" s="17">
        <f>COUNTIFS(源数据[日期],源数据[[#This Row],[日期]],源数据[账号id],源数据[[#This Row],[账号id]])</f>
        <v>1</v>
      </c>
      <c r="X341" s="15">
        <f>IFERROR(源数据[[#This Row],[点击量]]/源数据[[#This Row],[展示量]],"")</f>
        <v>0.0267229254571027</v>
      </c>
      <c r="Y341" s="16">
        <f>IFERROR(源数据[[#This Row],[播放量]]/源数据[[#This Row],[展示量]],"")</f>
        <v>0.070323488045007</v>
      </c>
      <c r="Z341" s="16">
        <f>IFERROR(源数据[[#This Row],[三连投放总消耗(毫分)]]/源数据[[#This Row],[播放量]],"")</f>
        <v>0.063413</v>
      </c>
      <c r="AA34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42" s="2" customFormat="1" spans="1:27">
      <c r="A342" s="7">
        <v>46204</v>
      </c>
      <c r="B342" s="8" t="s">
        <v>779</v>
      </c>
      <c r="C342" s="8" t="s">
        <v>780</v>
      </c>
      <c r="D342" s="8" t="s">
        <v>91</v>
      </c>
      <c r="E342" s="8" t="s">
        <v>92</v>
      </c>
      <c r="F342" s="8" t="s">
        <v>96</v>
      </c>
      <c r="G342" s="9">
        <v>351</v>
      </c>
      <c r="H342" s="9">
        <v>16</v>
      </c>
      <c r="I342" s="10">
        <v>3.06174</v>
      </c>
      <c r="J342" s="11">
        <v>3.06</v>
      </c>
      <c r="K342" s="12">
        <f t="shared" si="35"/>
        <v>0.0455840455840456</v>
      </c>
      <c r="L342" s="13">
        <f t="shared" si="36"/>
        <v>8.72290598290598</v>
      </c>
      <c r="M342" s="13">
        <f t="shared" si="37"/>
        <v>0.19135875</v>
      </c>
      <c r="N342" s="11">
        <v>0</v>
      </c>
      <c r="O342" s="11">
        <v>0</v>
      </c>
      <c r="P342" s="11">
        <v>2.53</v>
      </c>
      <c r="Q342" s="13">
        <f t="shared" si="38"/>
        <v>0.826327513113458</v>
      </c>
      <c r="R342" s="11">
        <v>2.53</v>
      </c>
      <c r="S342" s="13">
        <f t="shared" si="39"/>
        <v>0.826327513113458</v>
      </c>
      <c r="T342" s="9">
        <v>53</v>
      </c>
      <c r="U342" s="13">
        <f t="shared" si="40"/>
        <v>17.3104182588985</v>
      </c>
      <c r="V342" s="12">
        <f t="shared" si="41"/>
        <v>0.150997150997151</v>
      </c>
      <c r="W342" s="17">
        <f>COUNTIFS(源数据[日期],源数据[[#This Row],[日期]],源数据[账号id],源数据[[#This Row],[账号id]])</f>
        <v>1</v>
      </c>
      <c r="X342" s="15">
        <f>IFERROR(源数据[[#This Row],[点击量]]/源数据[[#This Row],[展示量]],"")</f>
        <v>0.0455840455840456</v>
      </c>
      <c r="Y342" s="16">
        <f>IFERROR(源数据[[#This Row],[播放量]]/源数据[[#This Row],[展示量]],"")</f>
        <v>0.150997150997151</v>
      </c>
      <c r="Z342" s="16">
        <f>IFERROR(源数据[[#This Row],[三连投放总消耗(毫分)]]/源数据[[#This Row],[播放量]],"")</f>
        <v>0.057768679245283</v>
      </c>
      <c r="AA34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43" s="2" customFormat="1" spans="1:27">
      <c r="A343" s="7">
        <v>46204</v>
      </c>
      <c r="B343" s="8" t="s">
        <v>781</v>
      </c>
      <c r="C343" s="8" t="s">
        <v>782</v>
      </c>
      <c r="D343" s="8" t="s">
        <v>91</v>
      </c>
      <c r="E343" s="8" t="s">
        <v>92</v>
      </c>
      <c r="F343" s="8" t="s">
        <v>96</v>
      </c>
      <c r="G343" s="9">
        <v>520</v>
      </c>
      <c r="H343" s="9">
        <v>6</v>
      </c>
      <c r="I343" s="10">
        <v>2.9107</v>
      </c>
      <c r="J343" s="11">
        <v>2.9</v>
      </c>
      <c r="K343" s="12">
        <f t="shared" si="35"/>
        <v>0.0115384615384615</v>
      </c>
      <c r="L343" s="13">
        <f t="shared" si="36"/>
        <v>5.5975</v>
      </c>
      <c r="M343" s="13">
        <f t="shared" si="37"/>
        <v>0.485116666666667</v>
      </c>
      <c r="N343" s="11">
        <v>0</v>
      </c>
      <c r="O343" s="11">
        <v>0</v>
      </c>
      <c r="P343" s="11">
        <v>2.02</v>
      </c>
      <c r="Q343" s="13">
        <f t="shared" si="38"/>
        <v>0.693991136152815</v>
      </c>
      <c r="R343" s="11">
        <v>2.02</v>
      </c>
      <c r="S343" s="13">
        <f t="shared" si="39"/>
        <v>0.693991136152815</v>
      </c>
      <c r="T343" s="9">
        <v>53</v>
      </c>
      <c r="U343" s="13">
        <f t="shared" si="40"/>
        <v>18.2086783248016</v>
      </c>
      <c r="V343" s="12">
        <f t="shared" si="41"/>
        <v>0.101923076923077</v>
      </c>
      <c r="W343" s="17">
        <f>COUNTIFS(源数据[日期],源数据[[#This Row],[日期]],源数据[账号id],源数据[[#This Row],[账号id]])</f>
        <v>1</v>
      </c>
      <c r="X343" s="15">
        <f>IFERROR(源数据[[#This Row],[点击量]]/源数据[[#This Row],[展示量]],"")</f>
        <v>0.0115384615384615</v>
      </c>
      <c r="Y343" s="16">
        <f>IFERROR(源数据[[#This Row],[播放量]]/源数据[[#This Row],[展示量]],"")</f>
        <v>0.101923076923077</v>
      </c>
      <c r="Z343" s="16">
        <f>IFERROR(源数据[[#This Row],[三连投放总消耗(毫分)]]/源数据[[#This Row],[播放量]],"")</f>
        <v>0.0549188679245283</v>
      </c>
      <c r="AA34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44" s="2" customFormat="1" spans="1:27">
      <c r="A344" s="7">
        <v>46204</v>
      </c>
      <c r="B344" s="8" t="s">
        <v>783</v>
      </c>
      <c r="C344" s="8" t="s">
        <v>784</v>
      </c>
      <c r="D344" s="8" t="s">
        <v>91</v>
      </c>
      <c r="E344" s="8" t="s">
        <v>92</v>
      </c>
      <c r="F344" s="8" t="s">
        <v>101</v>
      </c>
      <c r="G344" s="9">
        <v>583</v>
      </c>
      <c r="H344" s="9">
        <v>7</v>
      </c>
      <c r="I344" s="10">
        <v>2.66282</v>
      </c>
      <c r="J344" s="11">
        <v>2.56</v>
      </c>
      <c r="K344" s="12">
        <f t="shared" si="35"/>
        <v>0.0120068610634648</v>
      </c>
      <c r="L344" s="13">
        <f t="shared" si="36"/>
        <v>4.56744425385935</v>
      </c>
      <c r="M344" s="13">
        <f t="shared" si="37"/>
        <v>0.380402857142857</v>
      </c>
      <c r="N344" s="11">
        <v>0</v>
      </c>
      <c r="O344" s="11">
        <v>0</v>
      </c>
      <c r="P344" s="11">
        <v>0.2</v>
      </c>
      <c r="Q344" s="13">
        <f t="shared" si="38"/>
        <v>0.0751083437859112</v>
      </c>
      <c r="R344" s="11">
        <v>0.2</v>
      </c>
      <c r="S344" s="13">
        <f t="shared" si="39"/>
        <v>0.0751083437859112</v>
      </c>
      <c r="T344" s="9">
        <v>102</v>
      </c>
      <c r="U344" s="13">
        <f t="shared" si="40"/>
        <v>38.3052553308147</v>
      </c>
      <c r="V344" s="12">
        <f t="shared" si="41"/>
        <v>0.174957118353345</v>
      </c>
      <c r="W344" s="17">
        <f>COUNTIFS(源数据[日期],源数据[[#This Row],[日期]],源数据[账号id],源数据[[#This Row],[账号id]])</f>
        <v>1</v>
      </c>
      <c r="X344" s="15">
        <f>IFERROR(源数据[[#This Row],[点击量]]/源数据[[#This Row],[展示量]],"")</f>
        <v>0.0120068610634648</v>
      </c>
      <c r="Y344" s="16">
        <f>IFERROR(源数据[[#This Row],[播放量]]/源数据[[#This Row],[展示量]],"")</f>
        <v>0.174957118353345</v>
      </c>
      <c r="Z344" s="16">
        <f>IFERROR(源数据[[#This Row],[三连投放总消耗(毫分)]]/源数据[[#This Row],[播放量]],"")</f>
        <v>0.0261060784313726</v>
      </c>
      <c r="AA34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45" s="2" customFormat="1" spans="1:27">
      <c r="A345" s="7">
        <v>46204</v>
      </c>
      <c r="B345" s="8" t="s">
        <v>785</v>
      </c>
      <c r="C345" s="8" t="s">
        <v>786</v>
      </c>
      <c r="D345" s="8" t="s">
        <v>91</v>
      </c>
      <c r="E345" s="8" t="s">
        <v>92</v>
      </c>
      <c r="F345" s="8" t="s">
        <v>96</v>
      </c>
      <c r="G345" s="9">
        <v>623</v>
      </c>
      <c r="H345" s="9">
        <v>4</v>
      </c>
      <c r="I345" s="10">
        <v>2.64136</v>
      </c>
      <c r="J345" s="11">
        <v>2.63</v>
      </c>
      <c r="K345" s="12">
        <f t="shared" si="35"/>
        <v>0.00642054574638844</v>
      </c>
      <c r="L345" s="13">
        <f t="shared" si="36"/>
        <v>4.23974317817015</v>
      </c>
      <c r="M345" s="13">
        <f t="shared" si="37"/>
        <v>0.66034</v>
      </c>
      <c r="N345" s="11">
        <v>0</v>
      </c>
      <c r="O345" s="11">
        <v>0</v>
      </c>
      <c r="P345" s="11">
        <v>2.81</v>
      </c>
      <c r="Q345" s="13">
        <f t="shared" si="38"/>
        <v>1.06384589756792</v>
      </c>
      <c r="R345" s="11">
        <v>2.81</v>
      </c>
      <c r="S345" s="13">
        <f t="shared" si="39"/>
        <v>1.06384589756792</v>
      </c>
      <c r="T345" s="9">
        <v>48</v>
      </c>
      <c r="U345" s="13">
        <f t="shared" si="40"/>
        <v>18.1724566132598</v>
      </c>
      <c r="V345" s="12">
        <f t="shared" si="41"/>
        <v>0.0770465489566613</v>
      </c>
      <c r="W345" s="17">
        <f>COUNTIFS(源数据[日期],源数据[[#This Row],[日期]],源数据[账号id],源数据[[#This Row],[账号id]])</f>
        <v>1</v>
      </c>
      <c r="X345" s="15">
        <f>IFERROR(源数据[[#This Row],[点击量]]/源数据[[#This Row],[展示量]],"")</f>
        <v>0.00642054574638844</v>
      </c>
      <c r="Y345" s="16">
        <f>IFERROR(源数据[[#This Row],[播放量]]/源数据[[#This Row],[展示量]],"")</f>
        <v>0.0770465489566613</v>
      </c>
      <c r="Z345" s="16">
        <f>IFERROR(源数据[[#This Row],[三连投放总消耗(毫分)]]/源数据[[#This Row],[播放量]],"")</f>
        <v>0.0550283333333333</v>
      </c>
      <c r="AA34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46" s="2" customFormat="1" spans="1:27">
      <c r="A346" s="7">
        <v>46204</v>
      </c>
      <c r="B346" s="8" t="s">
        <v>787</v>
      </c>
      <c r="C346" s="8" t="s">
        <v>788</v>
      </c>
      <c r="D346" s="8" t="s">
        <v>91</v>
      </c>
      <c r="E346" s="8" t="s">
        <v>92</v>
      </c>
      <c r="F346" s="8" t="s">
        <v>96</v>
      </c>
      <c r="G346" s="9">
        <v>282</v>
      </c>
      <c r="H346" s="9">
        <v>15</v>
      </c>
      <c r="I346" s="10">
        <v>2.41001</v>
      </c>
      <c r="J346" s="11">
        <v>2.41</v>
      </c>
      <c r="K346" s="12">
        <f t="shared" si="35"/>
        <v>0.0531914893617021</v>
      </c>
      <c r="L346" s="13">
        <f t="shared" si="36"/>
        <v>8.54613475177305</v>
      </c>
      <c r="M346" s="13">
        <f t="shared" si="37"/>
        <v>0.160667333333333</v>
      </c>
      <c r="N346" s="11">
        <v>0</v>
      </c>
      <c r="O346" s="11">
        <v>0</v>
      </c>
      <c r="P346" s="11">
        <v>2.56</v>
      </c>
      <c r="Q346" s="13">
        <f t="shared" si="38"/>
        <v>1.06223625628109</v>
      </c>
      <c r="R346" s="11">
        <v>2.56</v>
      </c>
      <c r="S346" s="13">
        <f t="shared" si="39"/>
        <v>1.06223625628109</v>
      </c>
      <c r="T346" s="9">
        <v>42</v>
      </c>
      <c r="U346" s="13">
        <f t="shared" si="40"/>
        <v>17.4273135796117</v>
      </c>
      <c r="V346" s="12">
        <f t="shared" si="41"/>
        <v>0.148936170212766</v>
      </c>
      <c r="W346" s="17">
        <f>COUNTIFS(源数据[日期],源数据[[#This Row],[日期]],源数据[账号id],源数据[[#This Row],[账号id]])</f>
        <v>1</v>
      </c>
      <c r="X346" s="15">
        <f>IFERROR(源数据[[#This Row],[点击量]]/源数据[[#This Row],[展示量]],"")</f>
        <v>0.0531914893617021</v>
      </c>
      <c r="Y346" s="16">
        <f>IFERROR(源数据[[#This Row],[播放量]]/源数据[[#This Row],[展示量]],"")</f>
        <v>0.148936170212766</v>
      </c>
      <c r="Z346" s="16">
        <f>IFERROR(源数据[[#This Row],[三连投放总消耗(毫分)]]/源数据[[#This Row],[播放量]],"")</f>
        <v>0.0573811904761905</v>
      </c>
      <c r="AA34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47" s="2" customFormat="1" spans="1:27">
      <c r="A347" s="7">
        <v>46204</v>
      </c>
      <c r="B347" s="8" t="s">
        <v>789</v>
      </c>
      <c r="C347" s="8" t="s">
        <v>790</v>
      </c>
      <c r="D347" s="8" t="s">
        <v>91</v>
      </c>
      <c r="E347" s="8" t="s">
        <v>92</v>
      </c>
      <c r="F347" s="8" t="s">
        <v>110</v>
      </c>
      <c r="G347" s="9">
        <v>519</v>
      </c>
      <c r="H347" s="9">
        <v>10</v>
      </c>
      <c r="I347" s="10">
        <v>2.34349</v>
      </c>
      <c r="J347" s="11">
        <v>2.25</v>
      </c>
      <c r="K347" s="12">
        <f t="shared" si="35"/>
        <v>0.0192678227360308</v>
      </c>
      <c r="L347" s="13">
        <f t="shared" si="36"/>
        <v>4.51539499036609</v>
      </c>
      <c r="M347" s="13">
        <f t="shared" si="37"/>
        <v>0.234349</v>
      </c>
      <c r="N347" s="11">
        <v>0</v>
      </c>
      <c r="O347" s="11">
        <v>0</v>
      </c>
      <c r="P347" s="11">
        <v>0.23</v>
      </c>
      <c r="Q347" s="13">
        <f t="shared" si="38"/>
        <v>0.098144220798894</v>
      </c>
      <c r="R347" s="11">
        <v>0.23</v>
      </c>
      <c r="S347" s="13">
        <f t="shared" si="39"/>
        <v>0.098144220798894</v>
      </c>
      <c r="T347" s="9">
        <v>16</v>
      </c>
      <c r="U347" s="13">
        <f t="shared" si="40"/>
        <v>6.82742405557523</v>
      </c>
      <c r="V347" s="12">
        <f t="shared" si="41"/>
        <v>0.0308285163776493</v>
      </c>
      <c r="W347" s="17">
        <f>COUNTIFS(源数据[日期],源数据[[#This Row],[日期]],源数据[账号id],源数据[[#This Row],[账号id]])</f>
        <v>1</v>
      </c>
      <c r="X347" s="15">
        <f>IFERROR(源数据[[#This Row],[点击量]]/源数据[[#This Row],[展示量]],"")</f>
        <v>0.0192678227360308</v>
      </c>
      <c r="Y347" s="16">
        <f>IFERROR(源数据[[#This Row],[播放量]]/源数据[[#This Row],[展示量]],"")</f>
        <v>0.0308285163776493</v>
      </c>
      <c r="Z347" s="16">
        <f>IFERROR(源数据[[#This Row],[三连投放总消耗(毫分)]]/源数据[[#This Row],[播放量]],"")</f>
        <v>0.146468125</v>
      </c>
      <c r="AA34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48" s="2" customFormat="1" spans="1:27">
      <c r="A348" s="7">
        <v>46204</v>
      </c>
      <c r="B348" s="8" t="s">
        <v>791</v>
      </c>
      <c r="C348" s="8" t="s">
        <v>792</v>
      </c>
      <c r="D348" s="8" t="s">
        <v>91</v>
      </c>
      <c r="E348" s="8" t="s">
        <v>92</v>
      </c>
      <c r="F348" s="8" t="s">
        <v>115</v>
      </c>
      <c r="G348" s="9">
        <v>97</v>
      </c>
      <c r="H348" s="9">
        <v>10</v>
      </c>
      <c r="I348" s="10">
        <v>1.84938</v>
      </c>
      <c r="J348" s="11">
        <v>1.84</v>
      </c>
      <c r="K348" s="12">
        <f t="shared" si="35"/>
        <v>0.103092783505155</v>
      </c>
      <c r="L348" s="13">
        <f t="shared" si="36"/>
        <v>19.0657731958763</v>
      </c>
      <c r="M348" s="13">
        <f t="shared" si="37"/>
        <v>0.184938</v>
      </c>
      <c r="N348" s="11">
        <v>0</v>
      </c>
      <c r="O348" s="11">
        <v>0</v>
      </c>
      <c r="P348" s="11">
        <v>3.43</v>
      </c>
      <c r="Q348" s="13">
        <f t="shared" si="38"/>
        <v>1.85467562101894</v>
      </c>
      <c r="R348" s="11">
        <v>3.43</v>
      </c>
      <c r="S348" s="13">
        <f t="shared" si="39"/>
        <v>1.85467562101894</v>
      </c>
      <c r="T348" s="9">
        <v>37</v>
      </c>
      <c r="U348" s="13">
        <f t="shared" si="40"/>
        <v>20.0067049497669</v>
      </c>
      <c r="V348" s="12">
        <f t="shared" si="41"/>
        <v>0.381443298969072</v>
      </c>
      <c r="W348" s="17">
        <f>COUNTIFS(源数据[日期],源数据[[#This Row],[日期]],源数据[账号id],源数据[[#This Row],[账号id]])</f>
        <v>1</v>
      </c>
      <c r="X348" s="15">
        <f>IFERROR(源数据[[#This Row],[点击量]]/源数据[[#This Row],[展示量]],"")</f>
        <v>0.103092783505155</v>
      </c>
      <c r="Y348" s="16">
        <f>IFERROR(源数据[[#This Row],[播放量]]/源数据[[#This Row],[展示量]],"")</f>
        <v>0.381443298969072</v>
      </c>
      <c r="Z348" s="16">
        <f>IFERROR(源数据[[#This Row],[三连投放总消耗(毫分)]]/源数据[[#This Row],[播放量]],"")</f>
        <v>0.0499832432432432</v>
      </c>
      <c r="AA34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49" s="2" customFormat="1" spans="1:27">
      <c r="A349" s="7">
        <v>46204</v>
      </c>
      <c r="B349" s="8" t="s">
        <v>793</v>
      </c>
      <c r="C349" s="8" t="s">
        <v>794</v>
      </c>
      <c r="D349" s="8" t="s">
        <v>91</v>
      </c>
      <c r="E349" s="8" t="s">
        <v>92</v>
      </c>
      <c r="F349" s="8" t="s">
        <v>96</v>
      </c>
      <c r="G349" s="9">
        <v>642</v>
      </c>
      <c r="H349" s="9">
        <v>9</v>
      </c>
      <c r="I349" s="10">
        <v>1.8311</v>
      </c>
      <c r="J349" s="11">
        <v>1.83</v>
      </c>
      <c r="K349" s="12">
        <f t="shared" si="35"/>
        <v>0.014018691588785</v>
      </c>
      <c r="L349" s="13">
        <f t="shared" si="36"/>
        <v>2.85218068535826</v>
      </c>
      <c r="M349" s="13">
        <f t="shared" si="37"/>
        <v>0.203455555555556</v>
      </c>
      <c r="N349" s="11">
        <v>0</v>
      </c>
      <c r="O349" s="11">
        <v>0</v>
      </c>
      <c r="P349" s="11">
        <v>0.54</v>
      </c>
      <c r="Q349" s="13">
        <f t="shared" si="38"/>
        <v>0.294904702091639</v>
      </c>
      <c r="R349" s="11">
        <v>0.54</v>
      </c>
      <c r="S349" s="13">
        <f t="shared" si="39"/>
        <v>0.294904702091639</v>
      </c>
      <c r="T349" s="9">
        <v>43</v>
      </c>
      <c r="U349" s="13">
        <f t="shared" si="40"/>
        <v>23.4831522035935</v>
      </c>
      <c r="V349" s="12">
        <f t="shared" si="41"/>
        <v>0.0669781931464174</v>
      </c>
      <c r="W349" s="17">
        <f>COUNTIFS(源数据[日期],源数据[[#This Row],[日期]],源数据[账号id],源数据[[#This Row],[账号id]])</f>
        <v>1</v>
      </c>
      <c r="X349" s="15">
        <f>IFERROR(源数据[[#This Row],[点击量]]/源数据[[#This Row],[展示量]],"")</f>
        <v>0.014018691588785</v>
      </c>
      <c r="Y349" s="16">
        <f>IFERROR(源数据[[#This Row],[播放量]]/源数据[[#This Row],[展示量]],"")</f>
        <v>0.0669781931464174</v>
      </c>
      <c r="Z349" s="16">
        <f>IFERROR(源数据[[#This Row],[三连投放总消耗(毫分)]]/源数据[[#This Row],[播放量]],"")</f>
        <v>0.0425837209302326</v>
      </c>
      <c r="AA34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50" s="2" customFormat="1" spans="1:27">
      <c r="A350" s="7">
        <v>46204</v>
      </c>
      <c r="B350" s="8" t="s">
        <v>795</v>
      </c>
      <c r="C350" s="8" t="s">
        <v>796</v>
      </c>
      <c r="D350" s="8" t="s">
        <v>91</v>
      </c>
      <c r="E350" s="8" t="s">
        <v>92</v>
      </c>
      <c r="F350" s="8" t="s">
        <v>748</v>
      </c>
      <c r="G350" s="9">
        <v>462</v>
      </c>
      <c r="H350" s="9">
        <v>6</v>
      </c>
      <c r="I350" s="10">
        <v>1.73021</v>
      </c>
      <c r="J350" s="11">
        <v>1.72</v>
      </c>
      <c r="K350" s="12">
        <f t="shared" si="35"/>
        <v>0.012987012987013</v>
      </c>
      <c r="L350" s="13">
        <f t="shared" si="36"/>
        <v>3.74504329004329</v>
      </c>
      <c r="M350" s="13">
        <f t="shared" si="37"/>
        <v>0.288368333333333</v>
      </c>
      <c r="N350" s="11">
        <v>0</v>
      </c>
      <c r="O350" s="11">
        <v>0</v>
      </c>
      <c r="P350" s="11">
        <v>0.79</v>
      </c>
      <c r="Q350" s="13">
        <f t="shared" si="38"/>
        <v>0.456591974384612</v>
      </c>
      <c r="R350" s="11">
        <v>0.79</v>
      </c>
      <c r="S350" s="13">
        <f t="shared" si="39"/>
        <v>0.456591974384612</v>
      </c>
      <c r="T350" s="9">
        <v>0</v>
      </c>
      <c r="U350" s="13">
        <f t="shared" si="40"/>
        <v>0</v>
      </c>
      <c r="V350" s="12">
        <f t="shared" si="41"/>
        <v>0</v>
      </c>
      <c r="W350" s="17">
        <f>COUNTIFS(源数据[日期],源数据[[#This Row],[日期]],源数据[账号id],源数据[[#This Row],[账号id]])</f>
        <v>1</v>
      </c>
      <c r="X350" s="15">
        <f>IFERROR(源数据[[#This Row],[点击量]]/源数据[[#This Row],[展示量]],"")</f>
        <v>0.012987012987013</v>
      </c>
      <c r="Y350" s="16">
        <f>IFERROR(源数据[[#This Row],[播放量]]/源数据[[#This Row],[展示量]],"")</f>
        <v>0</v>
      </c>
      <c r="Z350" s="16" t="str">
        <f>IFERROR(源数据[[#This Row],[三连投放总消耗(毫分)]]/源数据[[#This Row],[播放量]],"")</f>
        <v/>
      </c>
      <c r="AA35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51" s="2" customFormat="1" spans="1:27">
      <c r="A351" s="7">
        <v>46204</v>
      </c>
      <c r="B351" s="8" t="s">
        <v>797</v>
      </c>
      <c r="C351" s="8" t="s">
        <v>798</v>
      </c>
      <c r="D351" s="8" t="s">
        <v>91</v>
      </c>
      <c r="E351" s="8" t="s">
        <v>92</v>
      </c>
      <c r="F351" s="8" t="s">
        <v>96</v>
      </c>
      <c r="G351" s="9">
        <v>436</v>
      </c>
      <c r="H351" s="9">
        <v>7</v>
      </c>
      <c r="I351" s="10">
        <v>1.72592</v>
      </c>
      <c r="J351" s="11">
        <v>1.72</v>
      </c>
      <c r="K351" s="12">
        <f t="shared" si="35"/>
        <v>0.0160550458715596</v>
      </c>
      <c r="L351" s="13">
        <f t="shared" si="36"/>
        <v>3.95853211009174</v>
      </c>
      <c r="M351" s="13">
        <f t="shared" si="37"/>
        <v>0.24656</v>
      </c>
      <c r="N351" s="11">
        <v>0</v>
      </c>
      <c r="O351" s="11">
        <v>0</v>
      </c>
      <c r="P351" s="11">
        <v>1.1</v>
      </c>
      <c r="Q351" s="13">
        <f t="shared" si="38"/>
        <v>0.637341244090109</v>
      </c>
      <c r="R351" s="11">
        <v>1.1</v>
      </c>
      <c r="S351" s="13">
        <f t="shared" si="39"/>
        <v>0.637341244090109</v>
      </c>
      <c r="T351" s="9">
        <v>31</v>
      </c>
      <c r="U351" s="13">
        <f t="shared" si="40"/>
        <v>17.9614350607212</v>
      </c>
      <c r="V351" s="12">
        <f t="shared" si="41"/>
        <v>0.0711009174311927</v>
      </c>
      <c r="W351" s="17">
        <f>COUNTIFS(源数据[日期],源数据[[#This Row],[日期]],源数据[账号id],源数据[[#This Row],[账号id]])</f>
        <v>1</v>
      </c>
      <c r="X351" s="15">
        <f>IFERROR(源数据[[#This Row],[点击量]]/源数据[[#This Row],[展示量]],"")</f>
        <v>0.0160550458715596</v>
      </c>
      <c r="Y351" s="16">
        <f>IFERROR(源数据[[#This Row],[播放量]]/源数据[[#This Row],[展示量]],"")</f>
        <v>0.0711009174311927</v>
      </c>
      <c r="Z351" s="16">
        <f>IFERROR(源数据[[#This Row],[三连投放总消耗(毫分)]]/源数据[[#This Row],[播放量]],"")</f>
        <v>0.0556748387096774</v>
      </c>
      <c r="AA35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52" s="2" customFormat="1" spans="1:27">
      <c r="A352" s="7">
        <v>46204</v>
      </c>
      <c r="B352" s="8" t="s">
        <v>799</v>
      </c>
      <c r="C352" s="8" t="s">
        <v>800</v>
      </c>
      <c r="D352" s="8" t="s">
        <v>91</v>
      </c>
      <c r="E352" s="8" t="s">
        <v>92</v>
      </c>
      <c r="F352" s="8" t="s">
        <v>110</v>
      </c>
      <c r="G352" s="9">
        <v>383</v>
      </c>
      <c r="H352" s="9">
        <v>12</v>
      </c>
      <c r="I352" s="10">
        <v>1.65827</v>
      </c>
      <c r="J352" s="11">
        <v>1.58</v>
      </c>
      <c r="K352" s="12">
        <f t="shared" si="35"/>
        <v>0.031331592689295</v>
      </c>
      <c r="L352" s="13">
        <f t="shared" si="36"/>
        <v>4.32968668407311</v>
      </c>
      <c r="M352" s="13">
        <f t="shared" si="37"/>
        <v>0.138189166666667</v>
      </c>
      <c r="N352" s="11">
        <v>0</v>
      </c>
      <c r="O352" s="11">
        <v>0</v>
      </c>
      <c r="P352" s="11">
        <v>0.01</v>
      </c>
      <c r="Q352" s="13">
        <f t="shared" si="38"/>
        <v>0.00603038105977917</v>
      </c>
      <c r="R352" s="11">
        <v>0.01</v>
      </c>
      <c r="S352" s="13">
        <f t="shared" si="39"/>
        <v>0.00603038105977917</v>
      </c>
      <c r="T352" s="9">
        <v>15</v>
      </c>
      <c r="U352" s="13">
        <f t="shared" si="40"/>
        <v>9.04557158966875</v>
      </c>
      <c r="V352" s="12">
        <f t="shared" si="41"/>
        <v>0.0391644908616188</v>
      </c>
      <c r="W352" s="17">
        <f>COUNTIFS(源数据[日期],源数据[[#This Row],[日期]],源数据[账号id],源数据[[#This Row],[账号id]])</f>
        <v>1</v>
      </c>
      <c r="X352" s="15">
        <f>IFERROR(源数据[[#This Row],[点击量]]/源数据[[#This Row],[展示量]],"")</f>
        <v>0.031331592689295</v>
      </c>
      <c r="Y352" s="16">
        <f>IFERROR(源数据[[#This Row],[播放量]]/源数据[[#This Row],[展示量]],"")</f>
        <v>0.0391644908616188</v>
      </c>
      <c r="Z352" s="16">
        <f>IFERROR(源数据[[#This Row],[三连投放总消耗(毫分)]]/源数据[[#This Row],[播放量]],"")</f>
        <v>0.110551333333333</v>
      </c>
      <c r="AA35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53" s="2" customFormat="1" spans="1:27">
      <c r="A353" s="7">
        <v>46204</v>
      </c>
      <c r="B353" s="8" t="s">
        <v>801</v>
      </c>
      <c r="C353" s="8" t="s">
        <v>802</v>
      </c>
      <c r="D353" s="8" t="s">
        <v>91</v>
      </c>
      <c r="E353" s="8" t="s">
        <v>92</v>
      </c>
      <c r="F353" s="8" t="s">
        <v>110</v>
      </c>
      <c r="G353" s="9">
        <v>172</v>
      </c>
      <c r="H353" s="9">
        <v>8</v>
      </c>
      <c r="I353" s="10">
        <v>1.4637</v>
      </c>
      <c r="J353" s="11">
        <v>1.44</v>
      </c>
      <c r="K353" s="12">
        <f t="shared" si="35"/>
        <v>0.0465116279069767</v>
      </c>
      <c r="L353" s="13">
        <f t="shared" si="36"/>
        <v>8.50988372093023</v>
      </c>
      <c r="M353" s="13">
        <f t="shared" si="37"/>
        <v>0.1829625</v>
      </c>
      <c r="N353" s="11">
        <v>0</v>
      </c>
      <c r="O353" s="11">
        <v>0</v>
      </c>
      <c r="P353" s="11">
        <v>0.16</v>
      </c>
      <c r="Q353" s="13">
        <f t="shared" si="38"/>
        <v>0.109312017489923</v>
      </c>
      <c r="R353" s="11">
        <v>0.16</v>
      </c>
      <c r="S353" s="13">
        <f t="shared" si="39"/>
        <v>0.109312017489923</v>
      </c>
      <c r="T353" s="9">
        <v>13</v>
      </c>
      <c r="U353" s="13">
        <f t="shared" si="40"/>
        <v>8.88160142105623</v>
      </c>
      <c r="V353" s="12">
        <f t="shared" si="41"/>
        <v>0.0755813953488372</v>
      </c>
      <c r="W353" s="17">
        <f>COUNTIFS(源数据[日期],源数据[[#This Row],[日期]],源数据[账号id],源数据[[#This Row],[账号id]])</f>
        <v>1</v>
      </c>
      <c r="X353" s="15">
        <f>IFERROR(源数据[[#This Row],[点击量]]/源数据[[#This Row],[展示量]],"")</f>
        <v>0.0465116279069767</v>
      </c>
      <c r="Y353" s="16">
        <f>IFERROR(源数据[[#This Row],[播放量]]/源数据[[#This Row],[展示量]],"")</f>
        <v>0.0755813953488372</v>
      </c>
      <c r="Z353" s="16">
        <f>IFERROR(源数据[[#This Row],[三连投放总消耗(毫分)]]/源数据[[#This Row],[播放量]],"")</f>
        <v>0.112592307692308</v>
      </c>
      <c r="AA35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54" s="2" customFormat="1" spans="1:27">
      <c r="A354" s="7">
        <v>46204</v>
      </c>
      <c r="B354" s="8" t="s">
        <v>803</v>
      </c>
      <c r="C354" s="8" t="s">
        <v>804</v>
      </c>
      <c r="D354" s="8" t="s">
        <v>91</v>
      </c>
      <c r="E354" s="8" t="s">
        <v>92</v>
      </c>
      <c r="F354" s="8" t="s">
        <v>110</v>
      </c>
      <c r="G354" s="9">
        <v>438</v>
      </c>
      <c r="H354" s="9">
        <v>10</v>
      </c>
      <c r="I354" s="10">
        <v>1.43785</v>
      </c>
      <c r="J354" s="11">
        <v>1.35</v>
      </c>
      <c r="K354" s="12">
        <f t="shared" si="35"/>
        <v>0.0228310502283105</v>
      </c>
      <c r="L354" s="13">
        <f t="shared" si="36"/>
        <v>3.28276255707763</v>
      </c>
      <c r="M354" s="13">
        <f t="shared" si="37"/>
        <v>0.143785</v>
      </c>
      <c r="N354" s="11">
        <v>0</v>
      </c>
      <c r="O354" s="11">
        <v>0</v>
      </c>
      <c r="P354" s="11">
        <v>0.12</v>
      </c>
      <c r="Q354" s="13">
        <f t="shared" si="38"/>
        <v>0.0834579406753138</v>
      </c>
      <c r="R354" s="11">
        <v>0.12</v>
      </c>
      <c r="S354" s="13">
        <f t="shared" si="39"/>
        <v>0.0834579406753138</v>
      </c>
      <c r="T354" s="9">
        <v>15</v>
      </c>
      <c r="U354" s="13">
        <f t="shared" si="40"/>
        <v>10.4322425844142</v>
      </c>
      <c r="V354" s="12">
        <f t="shared" si="41"/>
        <v>0.0342465753424658</v>
      </c>
      <c r="W354" s="17">
        <f>COUNTIFS(源数据[日期],源数据[[#This Row],[日期]],源数据[账号id],源数据[[#This Row],[账号id]])</f>
        <v>1</v>
      </c>
      <c r="X354" s="15">
        <f>IFERROR(源数据[[#This Row],[点击量]]/源数据[[#This Row],[展示量]],"")</f>
        <v>0.0228310502283105</v>
      </c>
      <c r="Y354" s="16">
        <f>IFERROR(源数据[[#This Row],[播放量]]/源数据[[#This Row],[展示量]],"")</f>
        <v>0.0342465753424658</v>
      </c>
      <c r="Z354" s="16">
        <f>IFERROR(源数据[[#This Row],[三连投放总消耗(毫分)]]/源数据[[#This Row],[播放量]],"")</f>
        <v>0.0958566666666667</v>
      </c>
      <c r="AA35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55" s="2" customFormat="1" spans="1:27">
      <c r="A355" s="7">
        <v>46204</v>
      </c>
      <c r="B355" s="8" t="s">
        <v>805</v>
      </c>
      <c r="C355" s="8" t="s">
        <v>806</v>
      </c>
      <c r="D355" s="8" t="s">
        <v>91</v>
      </c>
      <c r="E355" s="8" t="s">
        <v>92</v>
      </c>
      <c r="F355" s="8" t="s">
        <v>96</v>
      </c>
      <c r="G355" s="9">
        <v>361</v>
      </c>
      <c r="H355" s="9">
        <v>4</v>
      </c>
      <c r="I355" s="10">
        <v>1.37621</v>
      </c>
      <c r="J355" s="11">
        <v>1.37</v>
      </c>
      <c r="K355" s="12">
        <f t="shared" si="35"/>
        <v>0.0110803324099723</v>
      </c>
      <c r="L355" s="13">
        <f t="shared" si="36"/>
        <v>3.81221606648199</v>
      </c>
      <c r="M355" s="13">
        <f t="shared" si="37"/>
        <v>0.3440525</v>
      </c>
      <c r="N355" s="11">
        <v>0</v>
      </c>
      <c r="O355" s="11">
        <v>0</v>
      </c>
      <c r="P355" s="11">
        <v>0.56</v>
      </c>
      <c r="Q355" s="13">
        <f t="shared" si="38"/>
        <v>0.406914642387426</v>
      </c>
      <c r="R355" s="11">
        <v>0.56</v>
      </c>
      <c r="S355" s="13">
        <f t="shared" si="39"/>
        <v>0.406914642387426</v>
      </c>
      <c r="T355" s="9">
        <v>46</v>
      </c>
      <c r="U355" s="13">
        <f t="shared" si="40"/>
        <v>33.4251313389672</v>
      </c>
      <c r="V355" s="12">
        <f t="shared" si="41"/>
        <v>0.127423822714681</v>
      </c>
      <c r="W355" s="17">
        <f>COUNTIFS(源数据[日期],源数据[[#This Row],[日期]],源数据[账号id],源数据[[#This Row],[账号id]])</f>
        <v>1</v>
      </c>
      <c r="X355" s="15">
        <f>IFERROR(源数据[[#This Row],[点击量]]/源数据[[#This Row],[展示量]],"")</f>
        <v>0.0110803324099723</v>
      </c>
      <c r="Y355" s="16">
        <f>IFERROR(源数据[[#This Row],[播放量]]/源数据[[#This Row],[展示量]],"")</f>
        <v>0.127423822714681</v>
      </c>
      <c r="Z355" s="16">
        <f>IFERROR(源数据[[#This Row],[三连投放总消耗(毫分)]]/源数据[[#This Row],[播放量]],"")</f>
        <v>0.0299176086956522</v>
      </c>
      <c r="AA35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56" s="2" customFormat="1" spans="1:27">
      <c r="A356" s="7">
        <v>46204</v>
      </c>
      <c r="B356" s="8" t="s">
        <v>807</v>
      </c>
      <c r="C356" s="8" t="s">
        <v>808</v>
      </c>
      <c r="D356" s="8" t="s">
        <v>91</v>
      </c>
      <c r="E356" s="8" t="s">
        <v>92</v>
      </c>
      <c r="F356" s="8" t="s">
        <v>748</v>
      </c>
      <c r="G356" s="9">
        <v>256</v>
      </c>
      <c r="H356" s="9">
        <v>4</v>
      </c>
      <c r="I356" s="10">
        <v>1.33149</v>
      </c>
      <c r="J356" s="11">
        <v>1.32</v>
      </c>
      <c r="K356" s="12">
        <f t="shared" si="35"/>
        <v>0.015625</v>
      </c>
      <c r="L356" s="13">
        <f t="shared" si="36"/>
        <v>5.2011328125</v>
      </c>
      <c r="M356" s="13">
        <f t="shared" si="37"/>
        <v>0.3328725</v>
      </c>
      <c r="N356" s="11">
        <v>0</v>
      </c>
      <c r="O356" s="11">
        <v>0</v>
      </c>
      <c r="P356" s="11">
        <v>6.3</v>
      </c>
      <c r="Q356" s="13">
        <f t="shared" si="38"/>
        <v>4.73154135592457</v>
      </c>
      <c r="R356" s="11">
        <v>6.3</v>
      </c>
      <c r="S356" s="13">
        <f t="shared" si="39"/>
        <v>4.73154135592457</v>
      </c>
      <c r="T356" s="9">
        <v>1</v>
      </c>
      <c r="U356" s="13">
        <f t="shared" si="40"/>
        <v>0.751038310464217</v>
      </c>
      <c r="V356" s="12">
        <f t="shared" si="41"/>
        <v>0.00390625</v>
      </c>
      <c r="W356" s="17">
        <f>COUNTIFS(源数据[日期],源数据[[#This Row],[日期]],源数据[账号id],源数据[[#This Row],[账号id]])</f>
        <v>1</v>
      </c>
      <c r="X356" s="15">
        <f>IFERROR(源数据[[#This Row],[点击量]]/源数据[[#This Row],[展示量]],"")</f>
        <v>0.015625</v>
      </c>
      <c r="Y356" s="16">
        <f>IFERROR(源数据[[#This Row],[播放量]]/源数据[[#This Row],[展示量]],"")</f>
        <v>0.00390625</v>
      </c>
      <c r="Z356" s="16">
        <f>IFERROR(源数据[[#This Row],[三连投放总消耗(毫分)]]/源数据[[#This Row],[播放量]],"")</f>
        <v>1.33149</v>
      </c>
      <c r="AA35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57" s="2" customFormat="1" spans="1:27">
      <c r="A357" s="7">
        <v>46204</v>
      </c>
      <c r="B357" s="8" t="s">
        <v>809</v>
      </c>
      <c r="C357" s="8" t="s">
        <v>810</v>
      </c>
      <c r="D357" s="8" t="s">
        <v>91</v>
      </c>
      <c r="E357" s="8" t="s">
        <v>92</v>
      </c>
      <c r="F357" s="8" t="s">
        <v>110</v>
      </c>
      <c r="G357" s="9">
        <v>330</v>
      </c>
      <c r="H357" s="9">
        <v>11</v>
      </c>
      <c r="I357" s="10">
        <v>0.92875</v>
      </c>
      <c r="J357" s="11">
        <v>0.85</v>
      </c>
      <c r="K357" s="12">
        <f t="shared" si="35"/>
        <v>0.0333333333333333</v>
      </c>
      <c r="L357" s="13">
        <f t="shared" si="36"/>
        <v>2.81439393939394</v>
      </c>
      <c r="M357" s="13">
        <f t="shared" si="37"/>
        <v>0.0844318181818182</v>
      </c>
      <c r="N357" s="11">
        <v>0</v>
      </c>
      <c r="O357" s="11">
        <v>0</v>
      </c>
      <c r="P357" s="11">
        <v>0</v>
      </c>
      <c r="Q357" s="13">
        <f t="shared" si="38"/>
        <v>0</v>
      </c>
      <c r="R357" s="11">
        <v>0</v>
      </c>
      <c r="S357" s="13">
        <f t="shared" si="39"/>
        <v>0</v>
      </c>
      <c r="T357" s="9">
        <v>12</v>
      </c>
      <c r="U357" s="13">
        <f t="shared" si="40"/>
        <v>12.9205921938089</v>
      </c>
      <c r="V357" s="12">
        <f t="shared" si="41"/>
        <v>0.0363636363636364</v>
      </c>
      <c r="W357" s="17">
        <f>COUNTIFS(源数据[日期],源数据[[#This Row],[日期]],源数据[账号id],源数据[[#This Row],[账号id]])</f>
        <v>1</v>
      </c>
      <c r="X357" s="15">
        <f>IFERROR(源数据[[#This Row],[点击量]]/源数据[[#This Row],[展示量]],"")</f>
        <v>0.0333333333333333</v>
      </c>
      <c r="Y357" s="16">
        <f>IFERROR(源数据[[#This Row],[播放量]]/源数据[[#This Row],[展示量]],"")</f>
        <v>0.0363636363636364</v>
      </c>
      <c r="Z357" s="16">
        <f>IFERROR(源数据[[#This Row],[三连投放总消耗(毫分)]]/源数据[[#This Row],[播放量]],"")</f>
        <v>0.0773958333333333</v>
      </c>
      <c r="AA35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58" s="2" customFormat="1" spans="1:27">
      <c r="A358" s="7">
        <v>46204</v>
      </c>
      <c r="B358" s="8" t="s">
        <v>811</v>
      </c>
      <c r="C358" s="8" t="s">
        <v>812</v>
      </c>
      <c r="D358" s="8" t="s">
        <v>91</v>
      </c>
      <c r="E358" s="8" t="s">
        <v>92</v>
      </c>
      <c r="F358" s="8" t="s">
        <v>96</v>
      </c>
      <c r="G358" s="9">
        <v>299</v>
      </c>
      <c r="H358" s="9">
        <v>5</v>
      </c>
      <c r="I358" s="10">
        <v>0.9227</v>
      </c>
      <c r="J358" s="11">
        <v>0.91</v>
      </c>
      <c r="K358" s="12">
        <f t="shared" si="35"/>
        <v>0.0167224080267559</v>
      </c>
      <c r="L358" s="13">
        <f t="shared" si="36"/>
        <v>3.08595317725752</v>
      </c>
      <c r="M358" s="13">
        <f t="shared" si="37"/>
        <v>0.18454</v>
      </c>
      <c r="N358" s="11">
        <v>0</v>
      </c>
      <c r="O358" s="11">
        <v>0</v>
      </c>
      <c r="P358" s="11">
        <v>0.27</v>
      </c>
      <c r="Q358" s="13">
        <f t="shared" si="38"/>
        <v>0.292619486290235</v>
      </c>
      <c r="R358" s="11">
        <v>0.27</v>
      </c>
      <c r="S358" s="13">
        <f t="shared" si="39"/>
        <v>0.292619486290235</v>
      </c>
      <c r="T358" s="9">
        <v>30</v>
      </c>
      <c r="U358" s="13">
        <f t="shared" si="40"/>
        <v>32.5132762544706</v>
      </c>
      <c r="V358" s="12">
        <f t="shared" si="41"/>
        <v>0.100334448160535</v>
      </c>
      <c r="W358" s="17">
        <f>COUNTIFS(源数据[日期],源数据[[#This Row],[日期]],源数据[账号id],源数据[[#This Row],[账号id]])</f>
        <v>1</v>
      </c>
      <c r="X358" s="15">
        <f>IFERROR(源数据[[#This Row],[点击量]]/源数据[[#This Row],[展示量]],"")</f>
        <v>0.0167224080267559</v>
      </c>
      <c r="Y358" s="16">
        <f>IFERROR(源数据[[#This Row],[播放量]]/源数据[[#This Row],[展示量]],"")</f>
        <v>0.100334448160535</v>
      </c>
      <c r="Z358" s="16">
        <f>IFERROR(源数据[[#This Row],[三连投放总消耗(毫分)]]/源数据[[#This Row],[播放量]],"")</f>
        <v>0.0307566666666667</v>
      </c>
      <c r="AA35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59" s="2" customFormat="1" spans="1:27">
      <c r="A359" s="7">
        <v>46204</v>
      </c>
      <c r="B359" s="8" t="s">
        <v>813</v>
      </c>
      <c r="C359" s="8" t="s">
        <v>814</v>
      </c>
      <c r="D359" s="8" t="s">
        <v>91</v>
      </c>
      <c r="E359" s="8" t="s">
        <v>92</v>
      </c>
      <c r="F359" s="8" t="s">
        <v>110</v>
      </c>
      <c r="G359" s="9">
        <v>299</v>
      </c>
      <c r="H359" s="9">
        <v>4</v>
      </c>
      <c r="I359" s="10">
        <v>0.89659</v>
      </c>
      <c r="J359" s="11">
        <v>0.83</v>
      </c>
      <c r="K359" s="12">
        <f t="shared" si="35"/>
        <v>0.0133779264214047</v>
      </c>
      <c r="L359" s="13">
        <f t="shared" si="36"/>
        <v>2.99862876254181</v>
      </c>
      <c r="M359" s="13">
        <f t="shared" si="37"/>
        <v>0.2241475</v>
      </c>
      <c r="N359" s="11">
        <v>0</v>
      </c>
      <c r="O359" s="11">
        <v>0</v>
      </c>
      <c r="P359" s="11">
        <v>0</v>
      </c>
      <c r="Q359" s="13">
        <f t="shared" si="38"/>
        <v>0</v>
      </c>
      <c r="R359" s="11">
        <v>0</v>
      </c>
      <c r="S359" s="13">
        <f t="shared" si="39"/>
        <v>0</v>
      </c>
      <c r="T359" s="9">
        <v>7</v>
      </c>
      <c r="U359" s="13">
        <f t="shared" si="40"/>
        <v>7.80735899351989</v>
      </c>
      <c r="V359" s="12">
        <f t="shared" si="41"/>
        <v>0.0234113712374582</v>
      </c>
      <c r="W359" s="17">
        <f>COUNTIFS(源数据[日期],源数据[[#This Row],[日期]],源数据[账号id],源数据[[#This Row],[账号id]])</f>
        <v>1</v>
      </c>
      <c r="X359" s="15">
        <f>IFERROR(源数据[[#This Row],[点击量]]/源数据[[#This Row],[展示量]],"")</f>
        <v>0.0133779264214047</v>
      </c>
      <c r="Y359" s="16">
        <f>IFERROR(源数据[[#This Row],[播放量]]/源数据[[#This Row],[展示量]],"")</f>
        <v>0.0234113712374582</v>
      </c>
      <c r="Z359" s="16">
        <f>IFERROR(源数据[[#This Row],[三连投放总消耗(毫分)]]/源数据[[#This Row],[播放量]],"")</f>
        <v>0.128084285714286</v>
      </c>
      <c r="AA35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60" s="2" customFormat="1" spans="1:27">
      <c r="A360" s="7">
        <v>46204</v>
      </c>
      <c r="B360" s="8" t="s">
        <v>815</v>
      </c>
      <c r="C360" s="8" t="s">
        <v>816</v>
      </c>
      <c r="D360" s="8" t="s">
        <v>91</v>
      </c>
      <c r="E360" s="8" t="s">
        <v>92</v>
      </c>
      <c r="F360" s="8" t="s">
        <v>115</v>
      </c>
      <c r="G360" s="9">
        <v>144</v>
      </c>
      <c r="H360" s="9">
        <v>2</v>
      </c>
      <c r="I360" s="10">
        <v>0.88658</v>
      </c>
      <c r="J360" s="11">
        <v>0.88</v>
      </c>
      <c r="K360" s="12">
        <f t="shared" si="35"/>
        <v>0.0138888888888889</v>
      </c>
      <c r="L360" s="13">
        <f t="shared" si="36"/>
        <v>6.15680555555556</v>
      </c>
      <c r="M360" s="13">
        <f t="shared" si="37"/>
        <v>0.44329</v>
      </c>
      <c r="N360" s="11">
        <v>0</v>
      </c>
      <c r="O360" s="11">
        <v>0</v>
      </c>
      <c r="P360" s="11">
        <v>0.45</v>
      </c>
      <c r="Q360" s="13">
        <f t="shared" si="38"/>
        <v>0.507568408942227</v>
      </c>
      <c r="R360" s="11">
        <v>0.45</v>
      </c>
      <c r="S360" s="13">
        <f t="shared" si="39"/>
        <v>0.507568408942227</v>
      </c>
      <c r="T360" s="9">
        <v>33</v>
      </c>
      <c r="U360" s="13">
        <f t="shared" si="40"/>
        <v>37.22168332243</v>
      </c>
      <c r="V360" s="12">
        <f t="shared" si="41"/>
        <v>0.229166666666667</v>
      </c>
      <c r="W360" s="17">
        <f>COUNTIFS(源数据[日期],源数据[[#This Row],[日期]],源数据[账号id],源数据[[#This Row],[账号id]])</f>
        <v>1</v>
      </c>
      <c r="X360" s="15">
        <f>IFERROR(源数据[[#This Row],[点击量]]/源数据[[#This Row],[展示量]],"")</f>
        <v>0.0138888888888889</v>
      </c>
      <c r="Y360" s="16">
        <f>IFERROR(源数据[[#This Row],[播放量]]/源数据[[#This Row],[展示量]],"")</f>
        <v>0.229166666666667</v>
      </c>
      <c r="Z360" s="16">
        <f>IFERROR(源数据[[#This Row],[三连投放总消耗(毫分)]]/源数据[[#This Row],[播放量]],"")</f>
        <v>0.0268660606060606</v>
      </c>
      <c r="AA36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61" s="2" customFormat="1" spans="1:27">
      <c r="A361" s="7">
        <v>46204</v>
      </c>
      <c r="B361" s="8" t="s">
        <v>817</v>
      </c>
      <c r="C361" s="8" t="s">
        <v>818</v>
      </c>
      <c r="D361" s="8" t="s">
        <v>91</v>
      </c>
      <c r="E361" s="8" t="s">
        <v>92</v>
      </c>
      <c r="F361" s="8" t="s">
        <v>110</v>
      </c>
      <c r="G361" s="9">
        <v>112</v>
      </c>
      <c r="H361" s="9">
        <v>7</v>
      </c>
      <c r="I361" s="10">
        <v>0.87179</v>
      </c>
      <c r="J361" s="11">
        <v>0.84</v>
      </c>
      <c r="K361" s="12">
        <f t="shared" si="35"/>
        <v>0.0625</v>
      </c>
      <c r="L361" s="13">
        <f t="shared" si="36"/>
        <v>7.78383928571429</v>
      </c>
      <c r="M361" s="13">
        <f t="shared" si="37"/>
        <v>0.124541428571429</v>
      </c>
      <c r="N361" s="11">
        <v>0</v>
      </c>
      <c r="O361" s="11">
        <v>0</v>
      </c>
      <c r="P361" s="11">
        <v>5.56</v>
      </c>
      <c r="Q361" s="13">
        <f t="shared" si="38"/>
        <v>6.37768269881508</v>
      </c>
      <c r="R361" s="11">
        <v>5.56</v>
      </c>
      <c r="S361" s="13">
        <f t="shared" si="39"/>
        <v>6.37768269881508</v>
      </c>
      <c r="T361" s="9">
        <v>12</v>
      </c>
      <c r="U361" s="13">
        <f t="shared" si="40"/>
        <v>13.764782803198</v>
      </c>
      <c r="V361" s="12">
        <f t="shared" si="41"/>
        <v>0.107142857142857</v>
      </c>
      <c r="W361" s="17">
        <f>COUNTIFS(源数据[日期],源数据[[#This Row],[日期]],源数据[账号id],源数据[[#This Row],[账号id]])</f>
        <v>1</v>
      </c>
      <c r="X361" s="15">
        <f>IFERROR(源数据[[#This Row],[点击量]]/源数据[[#This Row],[展示量]],"")</f>
        <v>0.0625</v>
      </c>
      <c r="Y361" s="16">
        <f>IFERROR(源数据[[#This Row],[播放量]]/源数据[[#This Row],[展示量]],"")</f>
        <v>0.107142857142857</v>
      </c>
      <c r="Z361" s="16">
        <f>IFERROR(源数据[[#This Row],[三连投放总消耗(毫分)]]/源数据[[#This Row],[播放量]],"")</f>
        <v>0.0726491666666667</v>
      </c>
      <c r="AA36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62" s="2" customFormat="1" spans="1:27">
      <c r="A362" s="7">
        <v>46204</v>
      </c>
      <c r="B362" s="8" t="s">
        <v>819</v>
      </c>
      <c r="C362" s="8" t="s">
        <v>820</v>
      </c>
      <c r="D362" s="8" t="s">
        <v>91</v>
      </c>
      <c r="E362" s="8" t="s">
        <v>92</v>
      </c>
      <c r="F362" s="8" t="s">
        <v>748</v>
      </c>
      <c r="G362" s="9">
        <v>410</v>
      </c>
      <c r="H362" s="9">
        <v>4</v>
      </c>
      <c r="I362" s="10">
        <v>0.85511</v>
      </c>
      <c r="J362" s="11">
        <v>0.83</v>
      </c>
      <c r="K362" s="12">
        <f t="shared" si="35"/>
        <v>0.00975609756097561</v>
      </c>
      <c r="L362" s="13">
        <f t="shared" si="36"/>
        <v>2.08563414634146</v>
      </c>
      <c r="M362" s="13">
        <f t="shared" si="37"/>
        <v>0.2137775</v>
      </c>
      <c r="N362" s="11">
        <v>0</v>
      </c>
      <c r="O362" s="11">
        <v>0</v>
      </c>
      <c r="P362" s="11">
        <v>0</v>
      </c>
      <c r="Q362" s="13">
        <f t="shared" si="38"/>
        <v>0</v>
      </c>
      <c r="R362" s="11">
        <v>0</v>
      </c>
      <c r="S362" s="13">
        <f t="shared" si="39"/>
        <v>0</v>
      </c>
      <c r="T362" s="9">
        <v>4</v>
      </c>
      <c r="U362" s="13">
        <f t="shared" si="40"/>
        <v>4.67776075592614</v>
      </c>
      <c r="V362" s="12">
        <f t="shared" si="41"/>
        <v>0.00975609756097561</v>
      </c>
      <c r="W362" s="17">
        <f>COUNTIFS(源数据[日期],源数据[[#This Row],[日期]],源数据[账号id],源数据[[#This Row],[账号id]])</f>
        <v>1</v>
      </c>
      <c r="X362" s="15">
        <f>IFERROR(源数据[[#This Row],[点击量]]/源数据[[#This Row],[展示量]],"")</f>
        <v>0.00975609756097561</v>
      </c>
      <c r="Y362" s="16">
        <f>IFERROR(源数据[[#This Row],[播放量]]/源数据[[#This Row],[展示量]],"")</f>
        <v>0.00975609756097561</v>
      </c>
      <c r="Z362" s="16">
        <f>IFERROR(源数据[[#This Row],[三连投放总消耗(毫分)]]/源数据[[#This Row],[播放量]],"")</f>
        <v>0.2137775</v>
      </c>
      <c r="AA36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63" s="2" customFormat="1" spans="1:27">
      <c r="A363" s="7">
        <v>46204</v>
      </c>
      <c r="B363" s="8" t="s">
        <v>821</v>
      </c>
      <c r="C363" s="8" t="s">
        <v>822</v>
      </c>
      <c r="D363" s="8" t="s">
        <v>91</v>
      </c>
      <c r="E363" s="8" t="s">
        <v>92</v>
      </c>
      <c r="F363" s="8" t="s">
        <v>110</v>
      </c>
      <c r="G363" s="9">
        <v>72</v>
      </c>
      <c r="H363" s="9">
        <v>6</v>
      </c>
      <c r="I363" s="10">
        <v>0.81865</v>
      </c>
      <c r="J363" s="11">
        <v>0.78</v>
      </c>
      <c r="K363" s="12">
        <f t="shared" si="35"/>
        <v>0.0833333333333333</v>
      </c>
      <c r="L363" s="13">
        <f t="shared" si="36"/>
        <v>11.3701388888889</v>
      </c>
      <c r="M363" s="13">
        <f t="shared" si="37"/>
        <v>0.136441666666667</v>
      </c>
      <c r="N363" s="11">
        <v>0</v>
      </c>
      <c r="O363" s="11">
        <v>0</v>
      </c>
      <c r="P363" s="11">
        <v>1.14</v>
      </c>
      <c r="Q363" s="13">
        <f t="shared" si="38"/>
        <v>1.39253649300678</v>
      </c>
      <c r="R363" s="11">
        <v>1.14</v>
      </c>
      <c r="S363" s="13">
        <f t="shared" si="39"/>
        <v>1.39253649300678</v>
      </c>
      <c r="T363" s="9">
        <v>4</v>
      </c>
      <c r="U363" s="13">
        <f t="shared" si="40"/>
        <v>4.88609295791852</v>
      </c>
      <c r="V363" s="12">
        <f t="shared" si="41"/>
        <v>0.0555555555555556</v>
      </c>
      <c r="W363" s="17">
        <f>COUNTIFS(源数据[日期],源数据[[#This Row],[日期]],源数据[账号id],源数据[[#This Row],[账号id]])</f>
        <v>1</v>
      </c>
      <c r="X363" s="15">
        <f>IFERROR(源数据[[#This Row],[点击量]]/源数据[[#This Row],[展示量]],"")</f>
        <v>0.0833333333333333</v>
      </c>
      <c r="Y363" s="16">
        <f>IFERROR(源数据[[#This Row],[播放量]]/源数据[[#This Row],[展示量]],"")</f>
        <v>0.0555555555555556</v>
      </c>
      <c r="Z363" s="16">
        <f>IFERROR(源数据[[#This Row],[三连投放总消耗(毫分)]]/源数据[[#This Row],[播放量]],"")</f>
        <v>0.2046625</v>
      </c>
      <c r="AA36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64" s="2" customFormat="1" spans="1:27">
      <c r="A364" s="7">
        <v>46204</v>
      </c>
      <c r="B364" s="8" t="s">
        <v>823</v>
      </c>
      <c r="C364" s="8" t="s">
        <v>824</v>
      </c>
      <c r="D364" s="8" t="s">
        <v>91</v>
      </c>
      <c r="E364" s="8" t="s">
        <v>92</v>
      </c>
      <c r="F364" s="8" t="s">
        <v>110</v>
      </c>
      <c r="G364" s="9">
        <v>131</v>
      </c>
      <c r="H364" s="9">
        <v>9</v>
      </c>
      <c r="I364" s="10">
        <v>0.80146</v>
      </c>
      <c r="J364" s="11">
        <v>0.78</v>
      </c>
      <c r="K364" s="12">
        <f t="shared" si="35"/>
        <v>0.0687022900763359</v>
      </c>
      <c r="L364" s="13">
        <f t="shared" si="36"/>
        <v>6.11801526717557</v>
      </c>
      <c r="M364" s="13">
        <f t="shared" si="37"/>
        <v>0.0890511111111111</v>
      </c>
      <c r="N364" s="11">
        <v>0</v>
      </c>
      <c r="O364" s="11">
        <v>0</v>
      </c>
      <c r="P364" s="11">
        <v>2.3</v>
      </c>
      <c r="Q364" s="13">
        <f t="shared" si="38"/>
        <v>2.86976268310334</v>
      </c>
      <c r="R364" s="11">
        <v>2.3</v>
      </c>
      <c r="S364" s="13">
        <f t="shared" si="39"/>
        <v>2.86976268310334</v>
      </c>
      <c r="T364" s="9">
        <v>15</v>
      </c>
      <c r="U364" s="13">
        <f t="shared" si="40"/>
        <v>18.7158435854565</v>
      </c>
      <c r="V364" s="12">
        <f t="shared" si="41"/>
        <v>0.114503816793893</v>
      </c>
      <c r="W364" s="17">
        <f>COUNTIFS(源数据[日期],源数据[[#This Row],[日期]],源数据[账号id],源数据[[#This Row],[账号id]])</f>
        <v>1</v>
      </c>
      <c r="X364" s="15">
        <f>IFERROR(源数据[[#This Row],[点击量]]/源数据[[#This Row],[展示量]],"")</f>
        <v>0.0687022900763359</v>
      </c>
      <c r="Y364" s="16">
        <f>IFERROR(源数据[[#This Row],[播放量]]/源数据[[#This Row],[展示量]],"")</f>
        <v>0.114503816793893</v>
      </c>
      <c r="Z364" s="16">
        <f>IFERROR(源数据[[#This Row],[三连投放总消耗(毫分)]]/源数据[[#This Row],[播放量]],"")</f>
        <v>0.0534306666666667</v>
      </c>
      <c r="AA36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65" s="2" customFormat="1" spans="1:27">
      <c r="A365" s="7">
        <v>46204</v>
      </c>
      <c r="B365" s="8" t="s">
        <v>825</v>
      </c>
      <c r="C365" s="8" t="s">
        <v>826</v>
      </c>
      <c r="D365" s="8" t="s">
        <v>91</v>
      </c>
      <c r="E365" s="8" t="s">
        <v>92</v>
      </c>
      <c r="F365" s="8" t="s">
        <v>110</v>
      </c>
      <c r="G365" s="9">
        <v>154</v>
      </c>
      <c r="H365" s="9">
        <v>6</v>
      </c>
      <c r="I365" s="10">
        <v>0.78132</v>
      </c>
      <c r="J365" s="11">
        <v>0.75</v>
      </c>
      <c r="K365" s="12">
        <f t="shared" si="35"/>
        <v>0.038961038961039</v>
      </c>
      <c r="L365" s="13">
        <f t="shared" si="36"/>
        <v>5.07350649350649</v>
      </c>
      <c r="M365" s="13">
        <f t="shared" si="37"/>
        <v>0.13022</v>
      </c>
      <c r="N365" s="11">
        <v>0</v>
      </c>
      <c r="O365" s="11">
        <v>0</v>
      </c>
      <c r="P365" s="11">
        <v>0.11</v>
      </c>
      <c r="Q365" s="13">
        <f t="shared" si="38"/>
        <v>0.140787385450264</v>
      </c>
      <c r="R365" s="11">
        <v>0.11</v>
      </c>
      <c r="S365" s="13">
        <f t="shared" si="39"/>
        <v>0.140787385450264</v>
      </c>
      <c r="T365" s="9">
        <v>11</v>
      </c>
      <c r="U365" s="13">
        <f t="shared" si="40"/>
        <v>14.0787385450264</v>
      </c>
      <c r="V365" s="12">
        <f t="shared" si="41"/>
        <v>0.0714285714285714</v>
      </c>
      <c r="W365" s="17">
        <f>COUNTIFS(源数据[日期],源数据[[#This Row],[日期]],源数据[账号id],源数据[[#This Row],[账号id]])</f>
        <v>1</v>
      </c>
      <c r="X365" s="15">
        <f>IFERROR(源数据[[#This Row],[点击量]]/源数据[[#This Row],[展示量]],"")</f>
        <v>0.038961038961039</v>
      </c>
      <c r="Y365" s="16">
        <f>IFERROR(源数据[[#This Row],[播放量]]/源数据[[#This Row],[展示量]],"")</f>
        <v>0.0714285714285714</v>
      </c>
      <c r="Z365" s="16">
        <f>IFERROR(源数据[[#This Row],[三连投放总消耗(毫分)]]/源数据[[#This Row],[播放量]],"")</f>
        <v>0.0710290909090909</v>
      </c>
      <c r="AA36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66" s="2" customFormat="1" spans="1:27">
      <c r="A366" s="7">
        <v>46204</v>
      </c>
      <c r="B366" s="8" t="s">
        <v>827</v>
      </c>
      <c r="C366" s="8" t="s">
        <v>828</v>
      </c>
      <c r="D366" s="8" t="s">
        <v>91</v>
      </c>
      <c r="E366" s="8" t="s">
        <v>92</v>
      </c>
      <c r="F366" s="8" t="s">
        <v>96</v>
      </c>
      <c r="G366" s="9">
        <v>196</v>
      </c>
      <c r="H366" s="9">
        <v>5</v>
      </c>
      <c r="I366" s="10">
        <v>0.71317</v>
      </c>
      <c r="J366" s="11">
        <v>0.71</v>
      </c>
      <c r="K366" s="12">
        <f t="shared" si="35"/>
        <v>0.0255102040816327</v>
      </c>
      <c r="L366" s="13">
        <f t="shared" si="36"/>
        <v>3.63862244897959</v>
      </c>
      <c r="M366" s="13">
        <f t="shared" si="37"/>
        <v>0.142634</v>
      </c>
      <c r="N366" s="11">
        <v>0</v>
      </c>
      <c r="O366" s="11">
        <v>0</v>
      </c>
      <c r="P366" s="11">
        <v>1.84</v>
      </c>
      <c r="Q366" s="13">
        <f t="shared" si="38"/>
        <v>2.58003000687073</v>
      </c>
      <c r="R366" s="11">
        <v>1.84</v>
      </c>
      <c r="S366" s="13">
        <f t="shared" si="39"/>
        <v>2.58003000687073</v>
      </c>
      <c r="T366" s="9">
        <v>12</v>
      </c>
      <c r="U366" s="13">
        <f t="shared" si="40"/>
        <v>16.8262826535048</v>
      </c>
      <c r="V366" s="12">
        <f t="shared" si="41"/>
        <v>0.0612244897959184</v>
      </c>
      <c r="W366" s="17">
        <f>COUNTIFS(源数据[日期],源数据[[#This Row],[日期]],源数据[账号id],源数据[[#This Row],[账号id]])</f>
        <v>1</v>
      </c>
      <c r="X366" s="15">
        <f>IFERROR(源数据[[#This Row],[点击量]]/源数据[[#This Row],[展示量]],"")</f>
        <v>0.0255102040816327</v>
      </c>
      <c r="Y366" s="16">
        <f>IFERROR(源数据[[#This Row],[播放量]]/源数据[[#This Row],[展示量]],"")</f>
        <v>0.0612244897959184</v>
      </c>
      <c r="Z366" s="16">
        <f>IFERROR(源数据[[#This Row],[三连投放总消耗(毫分)]]/源数据[[#This Row],[播放量]],"")</f>
        <v>0.0594308333333333</v>
      </c>
      <c r="AA36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67" s="2" customFormat="1" spans="1:27">
      <c r="A367" s="7">
        <v>46204</v>
      </c>
      <c r="B367" s="8" t="s">
        <v>829</v>
      </c>
      <c r="C367" s="8" t="s">
        <v>830</v>
      </c>
      <c r="D367" s="8" t="s">
        <v>91</v>
      </c>
      <c r="E367" s="8" t="s">
        <v>92</v>
      </c>
      <c r="F367" s="8" t="s">
        <v>110</v>
      </c>
      <c r="G367" s="9">
        <v>76</v>
      </c>
      <c r="H367" s="9">
        <v>1</v>
      </c>
      <c r="I367" s="10">
        <v>0.68752</v>
      </c>
      <c r="J367" s="11">
        <v>0.66</v>
      </c>
      <c r="K367" s="12">
        <f t="shared" si="35"/>
        <v>0.0131578947368421</v>
      </c>
      <c r="L367" s="13">
        <f t="shared" si="36"/>
        <v>9.04631578947368</v>
      </c>
      <c r="M367" s="13">
        <f t="shared" si="37"/>
        <v>0.68752</v>
      </c>
      <c r="N367" s="11">
        <v>0</v>
      </c>
      <c r="O367" s="11">
        <v>0</v>
      </c>
      <c r="P367" s="11">
        <v>0.19</v>
      </c>
      <c r="Q367" s="13">
        <f t="shared" si="38"/>
        <v>0.276355596928089</v>
      </c>
      <c r="R367" s="11">
        <v>0.19</v>
      </c>
      <c r="S367" s="13">
        <f t="shared" si="39"/>
        <v>0.276355596928089</v>
      </c>
      <c r="T367" s="9">
        <v>4</v>
      </c>
      <c r="U367" s="13">
        <f t="shared" si="40"/>
        <v>5.81801256690714</v>
      </c>
      <c r="V367" s="12">
        <f t="shared" si="41"/>
        <v>0.0526315789473684</v>
      </c>
      <c r="W367" s="17">
        <f>COUNTIFS(源数据[日期],源数据[[#This Row],[日期]],源数据[账号id],源数据[[#This Row],[账号id]])</f>
        <v>1</v>
      </c>
      <c r="X367" s="15">
        <f>IFERROR(源数据[[#This Row],[点击量]]/源数据[[#This Row],[展示量]],"")</f>
        <v>0.0131578947368421</v>
      </c>
      <c r="Y367" s="16">
        <f>IFERROR(源数据[[#This Row],[播放量]]/源数据[[#This Row],[展示量]],"")</f>
        <v>0.0526315789473684</v>
      </c>
      <c r="Z367" s="16">
        <f>IFERROR(源数据[[#This Row],[三连投放总消耗(毫分)]]/源数据[[#This Row],[播放量]],"")</f>
        <v>0.17188</v>
      </c>
      <c r="AA36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68" s="2" customFormat="1" spans="1:27">
      <c r="A368" s="7">
        <v>46204</v>
      </c>
      <c r="B368" s="8" t="s">
        <v>831</v>
      </c>
      <c r="C368" s="8" t="s">
        <v>832</v>
      </c>
      <c r="D368" s="8" t="s">
        <v>91</v>
      </c>
      <c r="E368" s="8" t="s">
        <v>92</v>
      </c>
      <c r="F368" s="8" t="s">
        <v>96</v>
      </c>
      <c r="G368" s="9">
        <v>240</v>
      </c>
      <c r="H368" s="9">
        <v>6</v>
      </c>
      <c r="I368" s="10">
        <v>0.68575</v>
      </c>
      <c r="J368" s="11">
        <v>0.68</v>
      </c>
      <c r="K368" s="12">
        <f t="shared" si="35"/>
        <v>0.025</v>
      </c>
      <c r="L368" s="13">
        <f t="shared" si="36"/>
        <v>2.85729166666667</v>
      </c>
      <c r="M368" s="13">
        <f t="shared" si="37"/>
        <v>0.114291666666667</v>
      </c>
      <c r="N368" s="11">
        <v>0</v>
      </c>
      <c r="O368" s="11">
        <v>0</v>
      </c>
      <c r="P368" s="11">
        <v>0.48</v>
      </c>
      <c r="Q368" s="13">
        <f t="shared" si="38"/>
        <v>0.699963543565439</v>
      </c>
      <c r="R368" s="11">
        <v>0.48</v>
      </c>
      <c r="S368" s="13">
        <f t="shared" si="39"/>
        <v>0.699963543565439</v>
      </c>
      <c r="T368" s="9">
        <v>10</v>
      </c>
      <c r="U368" s="13">
        <f t="shared" si="40"/>
        <v>14.58257382428</v>
      </c>
      <c r="V368" s="12">
        <f t="shared" si="41"/>
        <v>0.0416666666666667</v>
      </c>
      <c r="W368" s="17">
        <f>COUNTIFS(源数据[日期],源数据[[#This Row],[日期]],源数据[账号id],源数据[[#This Row],[账号id]])</f>
        <v>1</v>
      </c>
      <c r="X368" s="15">
        <f>IFERROR(源数据[[#This Row],[点击量]]/源数据[[#This Row],[展示量]],"")</f>
        <v>0.025</v>
      </c>
      <c r="Y368" s="16">
        <f>IFERROR(源数据[[#This Row],[播放量]]/源数据[[#This Row],[展示量]],"")</f>
        <v>0.0416666666666667</v>
      </c>
      <c r="Z368" s="16">
        <f>IFERROR(源数据[[#This Row],[三连投放总消耗(毫分)]]/源数据[[#This Row],[播放量]],"")</f>
        <v>0.068575</v>
      </c>
      <c r="AA36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69" s="2" customFormat="1" spans="1:27">
      <c r="A369" s="7">
        <v>46204</v>
      </c>
      <c r="B369" s="8" t="s">
        <v>833</v>
      </c>
      <c r="C369" s="8" t="s">
        <v>834</v>
      </c>
      <c r="D369" s="8" t="s">
        <v>91</v>
      </c>
      <c r="E369" s="8" t="s">
        <v>92</v>
      </c>
      <c r="F369" s="8" t="s">
        <v>110</v>
      </c>
      <c r="G369" s="9">
        <v>107</v>
      </c>
      <c r="H369" s="9">
        <v>3</v>
      </c>
      <c r="I369" s="10">
        <v>0.61865</v>
      </c>
      <c r="J369" s="11">
        <v>0.59</v>
      </c>
      <c r="K369" s="12">
        <f t="shared" si="35"/>
        <v>0.0280373831775701</v>
      </c>
      <c r="L369" s="13">
        <f t="shared" si="36"/>
        <v>5.78177570093458</v>
      </c>
      <c r="M369" s="13">
        <f t="shared" si="37"/>
        <v>0.206216666666667</v>
      </c>
      <c r="N369" s="11">
        <v>0</v>
      </c>
      <c r="O369" s="11">
        <v>0</v>
      </c>
      <c r="P369" s="11">
        <v>0.31</v>
      </c>
      <c r="Q369" s="13">
        <f t="shared" si="38"/>
        <v>0.501091085427948</v>
      </c>
      <c r="R369" s="11">
        <v>0.31</v>
      </c>
      <c r="S369" s="13">
        <f t="shared" si="39"/>
        <v>0.501091085427948</v>
      </c>
      <c r="T369" s="9">
        <v>4</v>
      </c>
      <c r="U369" s="13">
        <f t="shared" si="40"/>
        <v>6.46569142487675</v>
      </c>
      <c r="V369" s="12">
        <f t="shared" si="41"/>
        <v>0.0373831775700935</v>
      </c>
      <c r="W369" s="17">
        <f>COUNTIFS(源数据[日期],源数据[[#This Row],[日期]],源数据[账号id],源数据[[#This Row],[账号id]])</f>
        <v>1</v>
      </c>
      <c r="X369" s="15">
        <f>IFERROR(源数据[[#This Row],[点击量]]/源数据[[#This Row],[展示量]],"")</f>
        <v>0.0280373831775701</v>
      </c>
      <c r="Y369" s="16">
        <f>IFERROR(源数据[[#This Row],[播放量]]/源数据[[#This Row],[展示量]],"")</f>
        <v>0.0373831775700935</v>
      </c>
      <c r="Z369" s="16">
        <f>IFERROR(源数据[[#This Row],[三连投放总消耗(毫分)]]/源数据[[#This Row],[播放量]],"")</f>
        <v>0.1546625</v>
      </c>
      <c r="AA36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70" s="2" customFormat="1" spans="1:27">
      <c r="A370" s="7">
        <v>46204</v>
      </c>
      <c r="B370" s="8" t="s">
        <v>835</v>
      </c>
      <c r="C370" s="8" t="s">
        <v>836</v>
      </c>
      <c r="D370" s="8" t="s">
        <v>91</v>
      </c>
      <c r="E370" s="8" t="s">
        <v>92</v>
      </c>
      <c r="F370" s="8" t="s">
        <v>96</v>
      </c>
      <c r="G370" s="9">
        <v>255</v>
      </c>
      <c r="H370" s="9">
        <v>1</v>
      </c>
      <c r="I370" s="10">
        <v>0.56957</v>
      </c>
      <c r="J370" s="11">
        <v>0.56</v>
      </c>
      <c r="K370" s="12">
        <f t="shared" si="35"/>
        <v>0.00392156862745098</v>
      </c>
      <c r="L370" s="13">
        <f t="shared" si="36"/>
        <v>2.23360784313726</v>
      </c>
      <c r="M370" s="13">
        <f t="shared" si="37"/>
        <v>0.56957</v>
      </c>
      <c r="N370" s="11">
        <v>0</v>
      </c>
      <c r="O370" s="11">
        <v>0</v>
      </c>
      <c r="P370" s="11">
        <v>0.3</v>
      </c>
      <c r="Q370" s="13">
        <f t="shared" si="38"/>
        <v>0.526713134469863</v>
      </c>
      <c r="R370" s="11">
        <v>0.3</v>
      </c>
      <c r="S370" s="13">
        <f t="shared" si="39"/>
        <v>0.526713134469863</v>
      </c>
      <c r="T370" s="9">
        <v>10</v>
      </c>
      <c r="U370" s="13">
        <f t="shared" si="40"/>
        <v>17.5571044823288</v>
      </c>
      <c r="V370" s="12">
        <f t="shared" si="41"/>
        <v>0.0392156862745098</v>
      </c>
      <c r="W370" s="17">
        <f>COUNTIFS(源数据[日期],源数据[[#This Row],[日期]],源数据[账号id],源数据[[#This Row],[账号id]])</f>
        <v>1</v>
      </c>
      <c r="X370" s="15">
        <f>IFERROR(源数据[[#This Row],[点击量]]/源数据[[#This Row],[展示量]],"")</f>
        <v>0.00392156862745098</v>
      </c>
      <c r="Y370" s="16">
        <f>IFERROR(源数据[[#This Row],[播放量]]/源数据[[#This Row],[展示量]],"")</f>
        <v>0.0392156862745098</v>
      </c>
      <c r="Z370" s="16">
        <f>IFERROR(源数据[[#This Row],[三连投放总消耗(毫分)]]/源数据[[#This Row],[播放量]],"")</f>
        <v>0.056957</v>
      </c>
      <c r="AA37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71" s="2" customFormat="1" spans="1:27">
      <c r="A371" s="7">
        <v>46204</v>
      </c>
      <c r="B371" s="8" t="s">
        <v>837</v>
      </c>
      <c r="C371" s="8" t="s">
        <v>838</v>
      </c>
      <c r="D371" s="8" t="s">
        <v>91</v>
      </c>
      <c r="E371" s="8" t="s">
        <v>92</v>
      </c>
      <c r="F371" s="8" t="s">
        <v>96</v>
      </c>
      <c r="G371" s="9">
        <v>472</v>
      </c>
      <c r="H371" s="9">
        <v>2</v>
      </c>
      <c r="I371" s="10">
        <v>0.56754</v>
      </c>
      <c r="J371" s="11">
        <v>0.56</v>
      </c>
      <c r="K371" s="12">
        <f t="shared" si="35"/>
        <v>0.00423728813559322</v>
      </c>
      <c r="L371" s="13">
        <f t="shared" si="36"/>
        <v>1.20241525423729</v>
      </c>
      <c r="M371" s="13">
        <f t="shared" si="37"/>
        <v>0.28377</v>
      </c>
      <c r="N371" s="11">
        <v>0</v>
      </c>
      <c r="O371" s="11">
        <v>0</v>
      </c>
      <c r="P371" s="11">
        <v>0.34</v>
      </c>
      <c r="Q371" s="13">
        <f t="shared" si="38"/>
        <v>0.599076717059591</v>
      </c>
      <c r="R371" s="11">
        <v>0.34</v>
      </c>
      <c r="S371" s="13">
        <f t="shared" si="39"/>
        <v>0.599076717059591</v>
      </c>
      <c r="T371" s="9">
        <v>15</v>
      </c>
      <c r="U371" s="13">
        <f t="shared" si="40"/>
        <v>26.4298551643937</v>
      </c>
      <c r="V371" s="12">
        <f t="shared" si="41"/>
        <v>0.0317796610169492</v>
      </c>
      <c r="W371" s="17">
        <f>COUNTIFS(源数据[日期],源数据[[#This Row],[日期]],源数据[账号id],源数据[[#This Row],[账号id]])</f>
        <v>1</v>
      </c>
      <c r="X371" s="15">
        <f>IFERROR(源数据[[#This Row],[点击量]]/源数据[[#This Row],[展示量]],"")</f>
        <v>0.00423728813559322</v>
      </c>
      <c r="Y371" s="16">
        <f>IFERROR(源数据[[#This Row],[播放量]]/源数据[[#This Row],[展示量]],"")</f>
        <v>0.0317796610169492</v>
      </c>
      <c r="Z371" s="16">
        <f>IFERROR(源数据[[#This Row],[三连投放总消耗(毫分)]]/源数据[[#This Row],[播放量]],"")</f>
        <v>0.037836</v>
      </c>
      <c r="AA37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72" s="2" customFormat="1" spans="1:27">
      <c r="A372" s="7">
        <v>46204</v>
      </c>
      <c r="B372" s="8" t="s">
        <v>839</v>
      </c>
      <c r="C372" s="8" t="s">
        <v>840</v>
      </c>
      <c r="D372" s="8" t="s">
        <v>91</v>
      </c>
      <c r="E372" s="8" t="s">
        <v>92</v>
      </c>
      <c r="F372" s="8" t="s">
        <v>96</v>
      </c>
      <c r="G372" s="9">
        <v>80</v>
      </c>
      <c r="H372" s="9">
        <v>1</v>
      </c>
      <c r="I372" s="10">
        <v>0.55936</v>
      </c>
      <c r="J372" s="11">
        <v>0.55</v>
      </c>
      <c r="K372" s="12">
        <f t="shared" si="35"/>
        <v>0.0125</v>
      </c>
      <c r="L372" s="13">
        <f t="shared" si="36"/>
        <v>6.992</v>
      </c>
      <c r="M372" s="13">
        <f t="shared" si="37"/>
        <v>0.55936</v>
      </c>
      <c r="N372" s="11">
        <v>0</v>
      </c>
      <c r="O372" s="11">
        <v>0</v>
      </c>
      <c r="P372" s="11">
        <v>0</v>
      </c>
      <c r="Q372" s="13">
        <f t="shared" si="38"/>
        <v>0</v>
      </c>
      <c r="R372" s="11">
        <v>0</v>
      </c>
      <c r="S372" s="13">
        <f t="shared" si="39"/>
        <v>0</v>
      </c>
      <c r="T372" s="9">
        <v>14</v>
      </c>
      <c r="U372" s="13">
        <f t="shared" si="40"/>
        <v>25.0286041189931</v>
      </c>
      <c r="V372" s="12">
        <f t="shared" si="41"/>
        <v>0.175</v>
      </c>
      <c r="W372" s="17">
        <f>COUNTIFS(源数据[日期],源数据[[#This Row],[日期]],源数据[账号id],源数据[[#This Row],[账号id]])</f>
        <v>1</v>
      </c>
      <c r="X372" s="15">
        <f>IFERROR(源数据[[#This Row],[点击量]]/源数据[[#This Row],[展示量]],"")</f>
        <v>0.0125</v>
      </c>
      <c r="Y372" s="16">
        <f>IFERROR(源数据[[#This Row],[播放量]]/源数据[[#This Row],[展示量]],"")</f>
        <v>0.175</v>
      </c>
      <c r="Z372" s="16">
        <f>IFERROR(源数据[[#This Row],[三连投放总消耗(毫分)]]/源数据[[#This Row],[播放量]],"")</f>
        <v>0.0399542857142857</v>
      </c>
      <c r="AA37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73" s="2" customFormat="1" spans="1:27">
      <c r="A373" s="7">
        <v>46204</v>
      </c>
      <c r="B373" s="8" t="s">
        <v>841</v>
      </c>
      <c r="C373" s="8" t="s">
        <v>842</v>
      </c>
      <c r="D373" s="8" t="s">
        <v>91</v>
      </c>
      <c r="E373" s="8" t="s">
        <v>92</v>
      </c>
      <c r="F373" s="8" t="s">
        <v>152</v>
      </c>
      <c r="G373" s="9">
        <v>21</v>
      </c>
      <c r="H373" s="9">
        <v>1</v>
      </c>
      <c r="I373" s="10">
        <v>0.4993</v>
      </c>
      <c r="J373" s="11">
        <v>0.48</v>
      </c>
      <c r="K373" s="12">
        <f t="shared" si="35"/>
        <v>0.0476190476190476</v>
      </c>
      <c r="L373" s="13">
        <f t="shared" si="36"/>
        <v>23.7761904761905</v>
      </c>
      <c r="M373" s="13">
        <f t="shared" si="37"/>
        <v>0.4993</v>
      </c>
      <c r="N373" s="11">
        <v>0</v>
      </c>
      <c r="O373" s="11">
        <v>0</v>
      </c>
      <c r="P373" s="11">
        <v>0.04</v>
      </c>
      <c r="Q373" s="13">
        <f t="shared" si="38"/>
        <v>0.0801121570198278</v>
      </c>
      <c r="R373" s="11">
        <v>0.04</v>
      </c>
      <c r="S373" s="13">
        <f t="shared" si="39"/>
        <v>0.0801121570198278</v>
      </c>
      <c r="T373" s="9">
        <v>4</v>
      </c>
      <c r="U373" s="13">
        <f t="shared" si="40"/>
        <v>8.01121570198278</v>
      </c>
      <c r="V373" s="12">
        <f t="shared" si="41"/>
        <v>0.19047619047619</v>
      </c>
      <c r="W373" s="17">
        <f>COUNTIFS(源数据[日期],源数据[[#This Row],[日期]],源数据[账号id],源数据[[#This Row],[账号id]])</f>
        <v>1</v>
      </c>
      <c r="X373" s="15">
        <f>IFERROR(源数据[[#This Row],[点击量]]/源数据[[#This Row],[展示量]],"")</f>
        <v>0.0476190476190476</v>
      </c>
      <c r="Y373" s="16">
        <f>IFERROR(源数据[[#This Row],[播放量]]/源数据[[#This Row],[展示量]],"")</f>
        <v>0.19047619047619</v>
      </c>
      <c r="Z373" s="16">
        <f>IFERROR(源数据[[#This Row],[三连投放总消耗(毫分)]]/源数据[[#This Row],[播放量]],"")</f>
        <v>0.124825</v>
      </c>
      <c r="AA37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74" s="2" customFormat="1" spans="1:27">
      <c r="A374" s="7">
        <v>46204</v>
      </c>
      <c r="B374" s="8" t="s">
        <v>843</v>
      </c>
      <c r="C374" s="8" t="s">
        <v>844</v>
      </c>
      <c r="D374" s="8" t="s">
        <v>91</v>
      </c>
      <c r="E374" s="8" t="s">
        <v>92</v>
      </c>
      <c r="F374" s="8" t="s">
        <v>96</v>
      </c>
      <c r="G374" s="9">
        <v>11667</v>
      </c>
      <c r="H374" s="9">
        <v>30</v>
      </c>
      <c r="I374" s="10">
        <v>0.49105</v>
      </c>
      <c r="J374" s="11">
        <v>0.42</v>
      </c>
      <c r="K374" s="12">
        <f t="shared" si="35"/>
        <v>0.00257135510413988</v>
      </c>
      <c r="L374" s="13">
        <f t="shared" si="36"/>
        <v>0.0420887974629296</v>
      </c>
      <c r="M374" s="13">
        <f t="shared" si="37"/>
        <v>0.0163683333333333</v>
      </c>
      <c r="N374" s="11">
        <v>0</v>
      </c>
      <c r="O374" s="11">
        <v>0</v>
      </c>
      <c r="P374" s="11">
        <v>0.75</v>
      </c>
      <c r="Q374" s="13">
        <f t="shared" si="38"/>
        <v>1.52733937480908</v>
      </c>
      <c r="R374" s="11">
        <v>0.75</v>
      </c>
      <c r="S374" s="13">
        <f t="shared" si="39"/>
        <v>1.52733937480908</v>
      </c>
      <c r="T374" s="9">
        <v>33</v>
      </c>
      <c r="U374" s="13">
        <f t="shared" si="40"/>
        <v>67.2029324915996</v>
      </c>
      <c r="V374" s="12">
        <f t="shared" si="41"/>
        <v>0.00282849061455387</v>
      </c>
      <c r="W374" s="17">
        <f>COUNTIFS(源数据[日期],源数据[[#This Row],[日期]],源数据[账号id],源数据[[#This Row],[账号id]])</f>
        <v>1</v>
      </c>
      <c r="X374" s="15">
        <f>IFERROR(源数据[[#This Row],[点击量]]/源数据[[#This Row],[展示量]],"")</f>
        <v>0.00257135510413988</v>
      </c>
      <c r="Y374" s="16">
        <f>IFERROR(源数据[[#This Row],[播放量]]/源数据[[#This Row],[展示量]],"")</f>
        <v>0.00282849061455387</v>
      </c>
      <c r="Z374" s="16">
        <f>IFERROR(源数据[[#This Row],[三连投放总消耗(毫分)]]/源数据[[#This Row],[播放量]],"")</f>
        <v>0.014880303030303</v>
      </c>
      <c r="AA37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75" s="2" customFormat="1" spans="1:27">
      <c r="A375" s="7">
        <v>46204</v>
      </c>
      <c r="B375" s="8" t="s">
        <v>845</v>
      </c>
      <c r="C375" s="8" t="s">
        <v>846</v>
      </c>
      <c r="D375" s="8" t="s">
        <v>91</v>
      </c>
      <c r="E375" s="8" t="s">
        <v>92</v>
      </c>
      <c r="F375" s="8" t="s">
        <v>115</v>
      </c>
      <c r="G375" s="9">
        <v>64</v>
      </c>
      <c r="H375" s="9">
        <v>2</v>
      </c>
      <c r="I375" s="10">
        <v>0.48305</v>
      </c>
      <c r="J375" s="11">
        <v>0.48</v>
      </c>
      <c r="K375" s="12">
        <f t="shared" si="35"/>
        <v>0.03125</v>
      </c>
      <c r="L375" s="13">
        <f t="shared" si="36"/>
        <v>7.54765625</v>
      </c>
      <c r="M375" s="13">
        <f t="shared" si="37"/>
        <v>0.241525</v>
      </c>
      <c r="N375" s="11">
        <v>0</v>
      </c>
      <c r="O375" s="11">
        <v>0</v>
      </c>
      <c r="P375" s="11">
        <v>0.24</v>
      </c>
      <c r="Q375" s="13">
        <f t="shared" si="38"/>
        <v>0.496842976917503</v>
      </c>
      <c r="R375" s="11">
        <v>0.24</v>
      </c>
      <c r="S375" s="13">
        <f t="shared" si="39"/>
        <v>0.496842976917503</v>
      </c>
      <c r="T375" s="9">
        <v>10</v>
      </c>
      <c r="U375" s="13">
        <f t="shared" si="40"/>
        <v>20.701790704896</v>
      </c>
      <c r="V375" s="12">
        <f t="shared" si="41"/>
        <v>0.15625</v>
      </c>
      <c r="W375" s="17">
        <f>COUNTIFS(源数据[日期],源数据[[#This Row],[日期]],源数据[账号id],源数据[[#This Row],[账号id]])</f>
        <v>1</v>
      </c>
      <c r="X375" s="15">
        <f>IFERROR(源数据[[#This Row],[点击量]]/源数据[[#This Row],[展示量]],"")</f>
        <v>0.03125</v>
      </c>
      <c r="Y375" s="16">
        <f>IFERROR(源数据[[#This Row],[播放量]]/源数据[[#This Row],[展示量]],"")</f>
        <v>0.15625</v>
      </c>
      <c r="Z375" s="16">
        <f>IFERROR(源数据[[#This Row],[三连投放总消耗(毫分)]]/源数据[[#This Row],[播放量]],"")</f>
        <v>0.048305</v>
      </c>
      <c r="AA37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76" s="2" customFormat="1" spans="1:27">
      <c r="A376" s="7">
        <v>46204</v>
      </c>
      <c r="B376" s="8" t="s">
        <v>847</v>
      </c>
      <c r="C376" s="8" t="s">
        <v>848</v>
      </c>
      <c r="D376" s="8" t="s">
        <v>91</v>
      </c>
      <c r="E376" s="8" t="s">
        <v>92</v>
      </c>
      <c r="F376" s="8" t="s">
        <v>96</v>
      </c>
      <c r="G376" s="9">
        <v>185</v>
      </c>
      <c r="H376" s="9">
        <v>6</v>
      </c>
      <c r="I376" s="10">
        <v>0.46571</v>
      </c>
      <c r="J376" s="11">
        <v>0.46</v>
      </c>
      <c r="K376" s="12">
        <f t="shared" si="35"/>
        <v>0.0324324324324324</v>
      </c>
      <c r="L376" s="13">
        <f t="shared" si="36"/>
        <v>2.51735135135135</v>
      </c>
      <c r="M376" s="13">
        <f t="shared" si="37"/>
        <v>0.0776183333333333</v>
      </c>
      <c r="N376" s="11">
        <v>0</v>
      </c>
      <c r="O376" s="11">
        <v>0</v>
      </c>
      <c r="P376" s="11">
        <v>0.4</v>
      </c>
      <c r="Q376" s="13">
        <f t="shared" si="38"/>
        <v>0.858903609542419</v>
      </c>
      <c r="R376" s="11">
        <v>0.4</v>
      </c>
      <c r="S376" s="13">
        <f t="shared" si="39"/>
        <v>0.858903609542419</v>
      </c>
      <c r="T376" s="9">
        <v>13</v>
      </c>
      <c r="U376" s="13">
        <f t="shared" si="40"/>
        <v>27.9143673101286</v>
      </c>
      <c r="V376" s="12">
        <f t="shared" si="41"/>
        <v>0.0702702702702703</v>
      </c>
      <c r="W376" s="17">
        <f>COUNTIFS(源数据[日期],源数据[[#This Row],[日期]],源数据[账号id],源数据[[#This Row],[账号id]])</f>
        <v>1</v>
      </c>
      <c r="X376" s="15">
        <f>IFERROR(源数据[[#This Row],[点击量]]/源数据[[#This Row],[展示量]],"")</f>
        <v>0.0324324324324324</v>
      </c>
      <c r="Y376" s="16">
        <f>IFERROR(源数据[[#This Row],[播放量]]/源数据[[#This Row],[展示量]],"")</f>
        <v>0.0702702702702703</v>
      </c>
      <c r="Z376" s="16">
        <f>IFERROR(源数据[[#This Row],[三连投放总消耗(毫分)]]/源数据[[#This Row],[播放量]],"")</f>
        <v>0.0358238461538462</v>
      </c>
      <c r="AA37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77" s="2" customFormat="1" spans="1:27">
      <c r="A377" s="7">
        <v>46204</v>
      </c>
      <c r="B377" s="8" t="s">
        <v>849</v>
      </c>
      <c r="C377" s="8" t="s">
        <v>850</v>
      </c>
      <c r="D377" s="8" t="s">
        <v>91</v>
      </c>
      <c r="E377" s="8" t="s">
        <v>92</v>
      </c>
      <c r="F377" s="8" t="s">
        <v>115</v>
      </c>
      <c r="G377" s="9">
        <v>55</v>
      </c>
      <c r="H377" s="9">
        <v>29</v>
      </c>
      <c r="I377" s="10">
        <v>0.44</v>
      </c>
      <c r="J377" s="11">
        <v>0.43</v>
      </c>
      <c r="K377" s="12">
        <f t="shared" si="35"/>
        <v>0.527272727272727</v>
      </c>
      <c r="L377" s="13">
        <f t="shared" si="36"/>
        <v>8</v>
      </c>
      <c r="M377" s="13">
        <f t="shared" si="37"/>
        <v>0.0151724137931034</v>
      </c>
      <c r="N377" s="11">
        <v>0</v>
      </c>
      <c r="O377" s="11">
        <v>0</v>
      </c>
      <c r="P377" s="11">
        <v>0</v>
      </c>
      <c r="Q377" s="13">
        <f t="shared" si="38"/>
        <v>0</v>
      </c>
      <c r="R377" s="11">
        <v>0</v>
      </c>
      <c r="S377" s="13">
        <f t="shared" si="39"/>
        <v>0</v>
      </c>
      <c r="T377" s="9">
        <v>4</v>
      </c>
      <c r="U377" s="13">
        <f t="shared" si="40"/>
        <v>9.09090909090909</v>
      </c>
      <c r="V377" s="12">
        <f t="shared" si="41"/>
        <v>0.0727272727272727</v>
      </c>
      <c r="W377" s="17">
        <f>COUNTIFS(源数据[日期],源数据[[#This Row],[日期]],源数据[账号id],源数据[[#This Row],[账号id]])</f>
        <v>1</v>
      </c>
      <c r="X377" s="15">
        <f>IFERROR(源数据[[#This Row],[点击量]]/源数据[[#This Row],[展示量]],"")</f>
        <v>0.527272727272727</v>
      </c>
      <c r="Y377" s="16">
        <f>IFERROR(源数据[[#This Row],[播放量]]/源数据[[#This Row],[展示量]],"")</f>
        <v>0.0727272727272727</v>
      </c>
      <c r="Z377" s="16">
        <f>IFERROR(源数据[[#This Row],[三连投放总消耗(毫分)]]/源数据[[#This Row],[播放量]],"")</f>
        <v>0.11</v>
      </c>
      <c r="AA37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78" s="2" customFormat="1" spans="1:27">
      <c r="A378" s="7">
        <v>46204</v>
      </c>
      <c r="B378" s="8" t="s">
        <v>851</v>
      </c>
      <c r="C378" s="8" t="s">
        <v>852</v>
      </c>
      <c r="D378" s="8" t="s">
        <v>91</v>
      </c>
      <c r="E378" s="8" t="s">
        <v>92</v>
      </c>
      <c r="F378" s="8" t="s">
        <v>96</v>
      </c>
      <c r="G378" s="9">
        <v>143</v>
      </c>
      <c r="H378" s="9">
        <v>2</v>
      </c>
      <c r="I378" s="10">
        <v>0.40101</v>
      </c>
      <c r="J378" s="11">
        <v>0.39</v>
      </c>
      <c r="K378" s="12">
        <f t="shared" si="35"/>
        <v>0.013986013986014</v>
      </c>
      <c r="L378" s="13">
        <f t="shared" si="36"/>
        <v>2.80426573426573</v>
      </c>
      <c r="M378" s="13">
        <f t="shared" si="37"/>
        <v>0.200505</v>
      </c>
      <c r="N378" s="11">
        <v>0</v>
      </c>
      <c r="O378" s="11">
        <v>0</v>
      </c>
      <c r="P378" s="11">
        <v>0.1</v>
      </c>
      <c r="Q378" s="13">
        <f t="shared" si="38"/>
        <v>0.249370339891773</v>
      </c>
      <c r="R378" s="11">
        <v>0.1</v>
      </c>
      <c r="S378" s="13">
        <f t="shared" si="39"/>
        <v>0.249370339891773</v>
      </c>
      <c r="T378" s="9">
        <v>11</v>
      </c>
      <c r="U378" s="13">
        <f t="shared" si="40"/>
        <v>27.4307373880951</v>
      </c>
      <c r="V378" s="12">
        <f t="shared" si="41"/>
        <v>0.0769230769230769</v>
      </c>
      <c r="W378" s="17">
        <f>COUNTIFS(源数据[日期],源数据[[#This Row],[日期]],源数据[账号id],源数据[[#This Row],[账号id]])</f>
        <v>1</v>
      </c>
      <c r="X378" s="15">
        <f>IFERROR(源数据[[#This Row],[点击量]]/源数据[[#This Row],[展示量]],"")</f>
        <v>0.013986013986014</v>
      </c>
      <c r="Y378" s="16">
        <f>IFERROR(源数据[[#This Row],[播放量]]/源数据[[#This Row],[展示量]],"")</f>
        <v>0.0769230769230769</v>
      </c>
      <c r="Z378" s="16">
        <f>IFERROR(源数据[[#This Row],[三连投放总消耗(毫分)]]/源数据[[#This Row],[播放量]],"")</f>
        <v>0.0364554545454545</v>
      </c>
      <c r="AA37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79" s="2" customFormat="1" spans="1:27">
      <c r="A379" s="7">
        <v>46204</v>
      </c>
      <c r="B379" s="8" t="s">
        <v>853</v>
      </c>
      <c r="C379" s="8" t="s">
        <v>854</v>
      </c>
      <c r="D379" s="8" t="s">
        <v>91</v>
      </c>
      <c r="E379" s="8" t="s">
        <v>92</v>
      </c>
      <c r="F379" s="8" t="s">
        <v>96</v>
      </c>
      <c r="G379" s="9">
        <v>225</v>
      </c>
      <c r="H379" s="9">
        <v>1</v>
      </c>
      <c r="I379" s="10">
        <v>0.39893</v>
      </c>
      <c r="J379" s="11">
        <v>0.4</v>
      </c>
      <c r="K379" s="12">
        <f t="shared" si="35"/>
        <v>0.00444444444444444</v>
      </c>
      <c r="L379" s="13">
        <f t="shared" si="36"/>
        <v>1.77302222222222</v>
      </c>
      <c r="M379" s="13">
        <f t="shared" si="37"/>
        <v>0.39893</v>
      </c>
      <c r="N379" s="11">
        <v>0</v>
      </c>
      <c r="O379" s="11">
        <v>0</v>
      </c>
      <c r="P379" s="11">
        <v>0.01</v>
      </c>
      <c r="Q379" s="13">
        <f t="shared" si="38"/>
        <v>0.0250670543704409</v>
      </c>
      <c r="R379" s="11">
        <v>0.01</v>
      </c>
      <c r="S379" s="13">
        <f t="shared" si="39"/>
        <v>0.0250670543704409</v>
      </c>
      <c r="T379" s="9">
        <v>8</v>
      </c>
      <c r="U379" s="13">
        <f t="shared" si="40"/>
        <v>20.0536434963527</v>
      </c>
      <c r="V379" s="12">
        <f t="shared" si="41"/>
        <v>0.0355555555555556</v>
      </c>
      <c r="W379" s="17">
        <f>COUNTIFS(源数据[日期],源数据[[#This Row],[日期]],源数据[账号id],源数据[[#This Row],[账号id]])</f>
        <v>1</v>
      </c>
      <c r="X379" s="15">
        <f>IFERROR(源数据[[#This Row],[点击量]]/源数据[[#This Row],[展示量]],"")</f>
        <v>0.00444444444444444</v>
      </c>
      <c r="Y379" s="16">
        <f>IFERROR(源数据[[#This Row],[播放量]]/源数据[[#This Row],[展示量]],"")</f>
        <v>0.0355555555555556</v>
      </c>
      <c r="Z379" s="16">
        <f>IFERROR(源数据[[#This Row],[三连投放总消耗(毫分)]]/源数据[[#This Row],[播放量]],"")</f>
        <v>0.04986625</v>
      </c>
      <c r="AA37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80" s="2" customFormat="1" spans="1:27">
      <c r="A380" s="7">
        <v>46204</v>
      </c>
      <c r="B380" s="8" t="s">
        <v>855</v>
      </c>
      <c r="C380" s="8" t="s">
        <v>856</v>
      </c>
      <c r="D380" s="8" t="s">
        <v>91</v>
      </c>
      <c r="E380" s="8" t="s">
        <v>92</v>
      </c>
      <c r="F380" s="8" t="s">
        <v>748</v>
      </c>
      <c r="G380" s="9">
        <v>207</v>
      </c>
      <c r="H380" s="9">
        <v>2</v>
      </c>
      <c r="I380" s="10">
        <v>0.36861</v>
      </c>
      <c r="J380" s="11">
        <v>0.36</v>
      </c>
      <c r="K380" s="12">
        <f t="shared" si="35"/>
        <v>0.00966183574879227</v>
      </c>
      <c r="L380" s="13">
        <f t="shared" si="36"/>
        <v>1.78072463768116</v>
      </c>
      <c r="M380" s="13">
        <f t="shared" si="37"/>
        <v>0.184305</v>
      </c>
      <c r="N380" s="11">
        <v>0</v>
      </c>
      <c r="O380" s="11">
        <v>0</v>
      </c>
      <c r="P380" s="11">
        <v>0</v>
      </c>
      <c r="Q380" s="13">
        <f t="shared" si="38"/>
        <v>0</v>
      </c>
      <c r="R380" s="11">
        <v>0</v>
      </c>
      <c r="S380" s="13">
        <f t="shared" si="39"/>
        <v>0</v>
      </c>
      <c r="T380" s="9">
        <v>1</v>
      </c>
      <c r="U380" s="13">
        <f t="shared" si="40"/>
        <v>2.71289438702151</v>
      </c>
      <c r="V380" s="12">
        <f t="shared" si="41"/>
        <v>0.00483091787439614</v>
      </c>
      <c r="W380" s="17">
        <f>COUNTIFS(源数据[日期],源数据[[#This Row],[日期]],源数据[账号id],源数据[[#This Row],[账号id]])</f>
        <v>1</v>
      </c>
      <c r="X380" s="15">
        <f>IFERROR(源数据[[#This Row],[点击量]]/源数据[[#This Row],[展示量]],"")</f>
        <v>0.00966183574879227</v>
      </c>
      <c r="Y380" s="16">
        <f>IFERROR(源数据[[#This Row],[播放量]]/源数据[[#This Row],[展示量]],"")</f>
        <v>0.00483091787439614</v>
      </c>
      <c r="Z380" s="16">
        <f>IFERROR(源数据[[#This Row],[三连投放总消耗(毫分)]]/源数据[[#This Row],[播放量]],"")</f>
        <v>0.36861</v>
      </c>
      <c r="AA38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81" s="2" customFormat="1" spans="1:27">
      <c r="A381" s="7">
        <v>46204</v>
      </c>
      <c r="B381" s="8" t="s">
        <v>857</v>
      </c>
      <c r="C381" s="8" t="s">
        <v>858</v>
      </c>
      <c r="D381" s="8" t="s">
        <v>91</v>
      </c>
      <c r="E381" s="8" t="s">
        <v>92</v>
      </c>
      <c r="F381" s="8" t="s">
        <v>110</v>
      </c>
      <c r="G381" s="9">
        <v>37</v>
      </c>
      <c r="H381" s="9">
        <v>4</v>
      </c>
      <c r="I381" s="10">
        <v>0.36595</v>
      </c>
      <c r="J381" s="11">
        <v>0.34</v>
      </c>
      <c r="K381" s="12">
        <f t="shared" si="35"/>
        <v>0.108108108108108</v>
      </c>
      <c r="L381" s="13">
        <f t="shared" si="36"/>
        <v>9.89054054054054</v>
      </c>
      <c r="M381" s="13">
        <f t="shared" si="37"/>
        <v>0.0914875</v>
      </c>
      <c r="N381" s="11">
        <v>0</v>
      </c>
      <c r="O381" s="11">
        <v>0</v>
      </c>
      <c r="P381" s="11">
        <v>0.9</v>
      </c>
      <c r="Q381" s="13">
        <f t="shared" si="38"/>
        <v>2.45935237054242</v>
      </c>
      <c r="R381" s="11">
        <v>0.9</v>
      </c>
      <c r="S381" s="13">
        <f t="shared" si="39"/>
        <v>2.45935237054242</v>
      </c>
      <c r="T381" s="9">
        <v>6</v>
      </c>
      <c r="U381" s="13">
        <f t="shared" si="40"/>
        <v>16.3956824702828</v>
      </c>
      <c r="V381" s="12">
        <f t="shared" si="41"/>
        <v>0.162162162162162</v>
      </c>
      <c r="W381" s="17">
        <f>COUNTIFS(源数据[日期],源数据[[#This Row],[日期]],源数据[账号id],源数据[[#This Row],[账号id]])</f>
        <v>1</v>
      </c>
      <c r="X381" s="15">
        <f>IFERROR(源数据[[#This Row],[点击量]]/源数据[[#This Row],[展示量]],"")</f>
        <v>0.108108108108108</v>
      </c>
      <c r="Y381" s="16">
        <f>IFERROR(源数据[[#This Row],[播放量]]/源数据[[#This Row],[展示量]],"")</f>
        <v>0.162162162162162</v>
      </c>
      <c r="Z381" s="16">
        <f>IFERROR(源数据[[#This Row],[三连投放总消耗(毫分)]]/源数据[[#This Row],[播放量]],"")</f>
        <v>0.0609916666666667</v>
      </c>
      <c r="AA38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82" s="2" customFormat="1" spans="1:27">
      <c r="A382" s="7">
        <v>46204</v>
      </c>
      <c r="B382" s="8" t="s">
        <v>859</v>
      </c>
      <c r="C382" s="8" t="s">
        <v>860</v>
      </c>
      <c r="D382" s="8" t="s">
        <v>91</v>
      </c>
      <c r="E382" s="8" t="s">
        <v>92</v>
      </c>
      <c r="F382" s="8" t="s">
        <v>96</v>
      </c>
      <c r="G382" s="9">
        <v>143</v>
      </c>
      <c r="H382" s="9">
        <v>3</v>
      </c>
      <c r="I382" s="10">
        <v>0.34614</v>
      </c>
      <c r="J382" s="11">
        <v>0.34</v>
      </c>
      <c r="K382" s="12">
        <f t="shared" si="35"/>
        <v>0.020979020979021</v>
      </c>
      <c r="L382" s="13">
        <f t="shared" si="36"/>
        <v>2.42055944055944</v>
      </c>
      <c r="M382" s="13">
        <f t="shared" si="37"/>
        <v>0.11538</v>
      </c>
      <c r="N382" s="11">
        <v>0</v>
      </c>
      <c r="O382" s="11">
        <v>0</v>
      </c>
      <c r="P382" s="11">
        <v>0.17</v>
      </c>
      <c r="Q382" s="13">
        <f t="shared" si="38"/>
        <v>0.491130756341365</v>
      </c>
      <c r="R382" s="11">
        <v>0.17</v>
      </c>
      <c r="S382" s="13">
        <f t="shared" si="39"/>
        <v>0.491130756341365</v>
      </c>
      <c r="T382" s="9">
        <v>15</v>
      </c>
      <c r="U382" s="13">
        <f t="shared" si="40"/>
        <v>43.3350667360028</v>
      </c>
      <c r="V382" s="12">
        <f t="shared" si="41"/>
        <v>0.104895104895105</v>
      </c>
      <c r="W382" s="17">
        <f>COUNTIFS(源数据[日期],源数据[[#This Row],[日期]],源数据[账号id],源数据[[#This Row],[账号id]])</f>
        <v>1</v>
      </c>
      <c r="X382" s="15">
        <f>IFERROR(源数据[[#This Row],[点击量]]/源数据[[#This Row],[展示量]],"")</f>
        <v>0.020979020979021</v>
      </c>
      <c r="Y382" s="16">
        <f>IFERROR(源数据[[#This Row],[播放量]]/源数据[[#This Row],[展示量]],"")</f>
        <v>0.104895104895105</v>
      </c>
      <c r="Z382" s="16">
        <f>IFERROR(源数据[[#This Row],[三连投放总消耗(毫分)]]/源数据[[#This Row],[播放量]],"")</f>
        <v>0.023076</v>
      </c>
      <c r="AA38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83" s="2" customFormat="1" spans="1:27">
      <c r="A383" s="7">
        <v>46204</v>
      </c>
      <c r="B383" s="8" t="s">
        <v>861</v>
      </c>
      <c r="C383" s="8" t="s">
        <v>862</v>
      </c>
      <c r="D383" s="8" t="s">
        <v>91</v>
      </c>
      <c r="E383" s="8" t="s">
        <v>92</v>
      </c>
      <c r="F383" s="8" t="s">
        <v>748</v>
      </c>
      <c r="G383" s="9">
        <v>94</v>
      </c>
      <c r="H383" s="9">
        <v>4</v>
      </c>
      <c r="I383" s="10">
        <v>0.32605</v>
      </c>
      <c r="J383" s="11">
        <v>0.29</v>
      </c>
      <c r="K383" s="12">
        <f t="shared" si="35"/>
        <v>0.0425531914893617</v>
      </c>
      <c r="L383" s="13">
        <f t="shared" si="36"/>
        <v>3.4686170212766</v>
      </c>
      <c r="M383" s="13">
        <f t="shared" si="37"/>
        <v>0.0815125</v>
      </c>
      <c r="N383" s="11">
        <v>0</v>
      </c>
      <c r="O383" s="11">
        <v>0</v>
      </c>
      <c r="P383" s="11">
        <v>0.19</v>
      </c>
      <c r="Q383" s="13">
        <f t="shared" si="38"/>
        <v>0.5827327097071</v>
      </c>
      <c r="R383" s="11">
        <v>0.19</v>
      </c>
      <c r="S383" s="13">
        <f t="shared" si="39"/>
        <v>0.5827327097071</v>
      </c>
      <c r="T383" s="9">
        <v>1</v>
      </c>
      <c r="U383" s="13">
        <f t="shared" si="40"/>
        <v>3.06701426161632</v>
      </c>
      <c r="V383" s="12">
        <f t="shared" si="41"/>
        <v>0.0106382978723404</v>
      </c>
      <c r="W383" s="17">
        <f>COUNTIFS(源数据[日期],源数据[[#This Row],[日期]],源数据[账号id],源数据[[#This Row],[账号id]])</f>
        <v>1</v>
      </c>
      <c r="X383" s="15">
        <f>IFERROR(源数据[[#This Row],[点击量]]/源数据[[#This Row],[展示量]],"")</f>
        <v>0.0425531914893617</v>
      </c>
      <c r="Y383" s="16">
        <f>IFERROR(源数据[[#This Row],[播放量]]/源数据[[#This Row],[展示量]],"")</f>
        <v>0.0106382978723404</v>
      </c>
      <c r="Z383" s="16">
        <f>IFERROR(源数据[[#This Row],[三连投放总消耗(毫分)]]/源数据[[#This Row],[播放量]],"")</f>
        <v>0.32605</v>
      </c>
      <c r="AA38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84" s="2" customFormat="1" spans="1:27">
      <c r="A384" s="7">
        <v>46204</v>
      </c>
      <c r="B384" s="8" t="s">
        <v>863</v>
      </c>
      <c r="C384" s="8" t="s">
        <v>864</v>
      </c>
      <c r="D384" s="8" t="s">
        <v>91</v>
      </c>
      <c r="E384" s="8" t="s">
        <v>92</v>
      </c>
      <c r="F384" s="8" t="s">
        <v>110</v>
      </c>
      <c r="G384" s="9">
        <v>42</v>
      </c>
      <c r="H384" s="9">
        <v>1</v>
      </c>
      <c r="I384" s="10">
        <v>0.32583</v>
      </c>
      <c r="J384" s="11">
        <v>0.31</v>
      </c>
      <c r="K384" s="12">
        <f t="shared" si="35"/>
        <v>0.0238095238095238</v>
      </c>
      <c r="L384" s="13">
        <f t="shared" si="36"/>
        <v>7.75785714285714</v>
      </c>
      <c r="M384" s="13">
        <f t="shared" si="37"/>
        <v>0.32583</v>
      </c>
      <c r="N384" s="11">
        <v>0</v>
      </c>
      <c r="O384" s="11">
        <v>0</v>
      </c>
      <c r="P384" s="11">
        <v>0</v>
      </c>
      <c r="Q384" s="13">
        <f t="shared" si="38"/>
        <v>0</v>
      </c>
      <c r="R384" s="11">
        <v>0</v>
      </c>
      <c r="S384" s="13">
        <f t="shared" si="39"/>
        <v>0</v>
      </c>
      <c r="T384" s="9">
        <v>1</v>
      </c>
      <c r="U384" s="13">
        <f t="shared" si="40"/>
        <v>3.06908510572998</v>
      </c>
      <c r="V384" s="12">
        <f t="shared" si="41"/>
        <v>0.0238095238095238</v>
      </c>
      <c r="W384" s="17">
        <f>COUNTIFS(源数据[日期],源数据[[#This Row],[日期]],源数据[账号id],源数据[[#This Row],[账号id]])</f>
        <v>1</v>
      </c>
      <c r="X384" s="15">
        <f>IFERROR(源数据[[#This Row],[点击量]]/源数据[[#This Row],[展示量]],"")</f>
        <v>0.0238095238095238</v>
      </c>
      <c r="Y384" s="16">
        <f>IFERROR(源数据[[#This Row],[播放量]]/源数据[[#This Row],[展示量]],"")</f>
        <v>0.0238095238095238</v>
      </c>
      <c r="Z384" s="16">
        <f>IFERROR(源数据[[#This Row],[三连投放总消耗(毫分)]]/源数据[[#This Row],[播放量]],"")</f>
        <v>0.32583</v>
      </c>
      <c r="AA38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85" s="2" customFormat="1" spans="1:27">
      <c r="A385" s="7">
        <v>46204</v>
      </c>
      <c r="B385" s="8" t="s">
        <v>865</v>
      </c>
      <c r="C385" s="8" t="s">
        <v>866</v>
      </c>
      <c r="D385" s="8" t="s">
        <v>91</v>
      </c>
      <c r="E385" s="8" t="s">
        <v>92</v>
      </c>
      <c r="F385" s="8" t="s">
        <v>110</v>
      </c>
      <c r="G385" s="9">
        <v>40</v>
      </c>
      <c r="H385" s="9">
        <v>1</v>
      </c>
      <c r="I385" s="10">
        <v>0.32121</v>
      </c>
      <c r="J385" s="11">
        <v>0.3</v>
      </c>
      <c r="K385" s="12">
        <f t="shared" si="35"/>
        <v>0.025</v>
      </c>
      <c r="L385" s="13">
        <f t="shared" si="36"/>
        <v>8.03025</v>
      </c>
      <c r="M385" s="13">
        <f t="shared" si="37"/>
        <v>0.32121</v>
      </c>
      <c r="N385" s="11">
        <v>0</v>
      </c>
      <c r="O385" s="11">
        <v>0</v>
      </c>
      <c r="P385" s="11">
        <v>0</v>
      </c>
      <c r="Q385" s="13">
        <f t="shared" si="38"/>
        <v>0</v>
      </c>
      <c r="R385" s="11">
        <v>0</v>
      </c>
      <c r="S385" s="13">
        <f t="shared" si="39"/>
        <v>0</v>
      </c>
      <c r="T385" s="9">
        <v>1</v>
      </c>
      <c r="U385" s="13">
        <f t="shared" si="40"/>
        <v>3.11322810622334</v>
      </c>
      <c r="V385" s="12">
        <f t="shared" si="41"/>
        <v>0.025</v>
      </c>
      <c r="W385" s="17">
        <f>COUNTIFS(源数据[日期],源数据[[#This Row],[日期]],源数据[账号id],源数据[[#This Row],[账号id]])</f>
        <v>1</v>
      </c>
      <c r="X385" s="15">
        <f>IFERROR(源数据[[#This Row],[点击量]]/源数据[[#This Row],[展示量]],"")</f>
        <v>0.025</v>
      </c>
      <c r="Y385" s="16">
        <f>IFERROR(源数据[[#This Row],[播放量]]/源数据[[#This Row],[展示量]],"")</f>
        <v>0.025</v>
      </c>
      <c r="Z385" s="16">
        <f>IFERROR(源数据[[#This Row],[三连投放总消耗(毫分)]]/源数据[[#This Row],[播放量]],"")</f>
        <v>0.32121</v>
      </c>
      <c r="AA38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86" s="2" customFormat="1" spans="1:27">
      <c r="A386" s="7">
        <v>46204</v>
      </c>
      <c r="B386" s="8" t="s">
        <v>867</v>
      </c>
      <c r="C386" s="8" t="s">
        <v>868</v>
      </c>
      <c r="D386" s="8" t="s">
        <v>91</v>
      </c>
      <c r="E386" s="8" t="s">
        <v>92</v>
      </c>
      <c r="F386" s="8" t="s">
        <v>96</v>
      </c>
      <c r="G386" s="9">
        <v>68</v>
      </c>
      <c r="H386" s="9">
        <v>3</v>
      </c>
      <c r="I386" s="10">
        <v>0.31267</v>
      </c>
      <c r="J386" s="11">
        <v>0.31</v>
      </c>
      <c r="K386" s="12">
        <f t="shared" ref="K386:K449" si="42">IF(G386=0,0,H386/G386)</f>
        <v>0.0441176470588235</v>
      </c>
      <c r="L386" s="13">
        <f t="shared" ref="L386:L449" si="43">IF(G386=0,0,I386/G386*1000)</f>
        <v>4.59808823529412</v>
      </c>
      <c r="M386" s="13">
        <f t="shared" ref="M386:M449" si="44">IF(H386=0,0,I386/H386)</f>
        <v>0.104223333333333</v>
      </c>
      <c r="N386" s="11">
        <v>0</v>
      </c>
      <c r="O386" s="11">
        <v>0</v>
      </c>
      <c r="P386" s="11">
        <v>0.63</v>
      </c>
      <c r="Q386" s="13">
        <f t="shared" ref="Q386:Q449" si="45">IF(I386=0,0,P386/I386)</f>
        <v>2.0149038922826</v>
      </c>
      <c r="R386" s="11">
        <v>0.63</v>
      </c>
      <c r="S386" s="13">
        <f t="shared" ref="S386:S449" si="46">IF(I386=0,0,R386/I386)</f>
        <v>2.0149038922826</v>
      </c>
      <c r="T386" s="9">
        <v>7</v>
      </c>
      <c r="U386" s="13">
        <f t="shared" ref="U386:U449" si="47">IF(I386=0,0,T386/I386)</f>
        <v>22.3878210253622</v>
      </c>
      <c r="V386" s="12">
        <f t="shared" ref="V386:V449" si="48">IF(G386=0,0,T386/G386)</f>
        <v>0.102941176470588</v>
      </c>
      <c r="W386" s="17">
        <f>COUNTIFS(源数据[日期],源数据[[#This Row],[日期]],源数据[账号id],源数据[[#This Row],[账号id]])</f>
        <v>1</v>
      </c>
      <c r="X386" s="15">
        <f>IFERROR(源数据[[#This Row],[点击量]]/源数据[[#This Row],[展示量]],"")</f>
        <v>0.0441176470588235</v>
      </c>
      <c r="Y386" s="16">
        <f>IFERROR(源数据[[#This Row],[播放量]]/源数据[[#This Row],[展示量]],"")</f>
        <v>0.102941176470588</v>
      </c>
      <c r="Z386" s="16">
        <f>IFERROR(源数据[[#This Row],[三连投放总消耗(毫分)]]/源数据[[#This Row],[播放量]],"")</f>
        <v>0.0446671428571429</v>
      </c>
      <c r="AA38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87" s="2" customFormat="1" spans="1:27">
      <c r="A387" s="7">
        <v>46204</v>
      </c>
      <c r="B387" s="8" t="s">
        <v>869</v>
      </c>
      <c r="C387" s="8" t="s">
        <v>870</v>
      </c>
      <c r="D387" s="8" t="s">
        <v>91</v>
      </c>
      <c r="E387" s="8" t="s">
        <v>92</v>
      </c>
      <c r="F387" s="8" t="s">
        <v>110</v>
      </c>
      <c r="G387" s="9">
        <v>29</v>
      </c>
      <c r="H387" s="9">
        <v>3</v>
      </c>
      <c r="I387" s="10">
        <v>0.30019</v>
      </c>
      <c r="J387" s="11">
        <v>0.27</v>
      </c>
      <c r="K387" s="12">
        <f t="shared" si="42"/>
        <v>0.103448275862069</v>
      </c>
      <c r="L387" s="13">
        <f t="shared" si="43"/>
        <v>10.3513793103448</v>
      </c>
      <c r="M387" s="13">
        <f t="shared" si="44"/>
        <v>0.100063333333333</v>
      </c>
      <c r="N387" s="11">
        <v>0</v>
      </c>
      <c r="O387" s="11">
        <v>0</v>
      </c>
      <c r="P387" s="11">
        <v>0.54</v>
      </c>
      <c r="Q387" s="13">
        <f t="shared" si="45"/>
        <v>1.79886072154302</v>
      </c>
      <c r="R387" s="11">
        <v>0.54</v>
      </c>
      <c r="S387" s="13">
        <f t="shared" si="46"/>
        <v>1.79886072154302</v>
      </c>
      <c r="T387" s="9">
        <v>3</v>
      </c>
      <c r="U387" s="13">
        <f t="shared" si="47"/>
        <v>9.99367067523901</v>
      </c>
      <c r="V387" s="12">
        <f t="shared" si="48"/>
        <v>0.103448275862069</v>
      </c>
      <c r="W387" s="17">
        <f>COUNTIFS(源数据[日期],源数据[[#This Row],[日期]],源数据[账号id],源数据[[#This Row],[账号id]])</f>
        <v>1</v>
      </c>
      <c r="X387" s="15">
        <f>IFERROR(源数据[[#This Row],[点击量]]/源数据[[#This Row],[展示量]],"")</f>
        <v>0.103448275862069</v>
      </c>
      <c r="Y387" s="16">
        <f>IFERROR(源数据[[#This Row],[播放量]]/源数据[[#This Row],[展示量]],"")</f>
        <v>0.103448275862069</v>
      </c>
      <c r="Z387" s="16">
        <f>IFERROR(源数据[[#This Row],[三连投放总消耗(毫分)]]/源数据[[#This Row],[播放量]],"")</f>
        <v>0.100063333333333</v>
      </c>
      <c r="AA38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88" s="2" customFormat="1" spans="1:27">
      <c r="A388" s="7">
        <v>46204</v>
      </c>
      <c r="B388" s="8" t="s">
        <v>871</v>
      </c>
      <c r="C388" s="8" t="s">
        <v>872</v>
      </c>
      <c r="D388" s="8" t="s">
        <v>91</v>
      </c>
      <c r="E388" s="8" t="s">
        <v>92</v>
      </c>
      <c r="F388" s="8" t="s">
        <v>110</v>
      </c>
      <c r="G388" s="9">
        <v>40</v>
      </c>
      <c r="H388" s="9">
        <v>1</v>
      </c>
      <c r="I388" s="10">
        <v>0.29194</v>
      </c>
      <c r="J388" s="11">
        <v>0.26</v>
      </c>
      <c r="K388" s="12">
        <f t="shared" si="42"/>
        <v>0.025</v>
      </c>
      <c r="L388" s="13">
        <f t="shared" si="43"/>
        <v>7.2985</v>
      </c>
      <c r="M388" s="13">
        <f t="shared" si="44"/>
        <v>0.29194</v>
      </c>
      <c r="N388" s="11">
        <v>0</v>
      </c>
      <c r="O388" s="11">
        <v>0</v>
      </c>
      <c r="P388" s="11">
        <v>0</v>
      </c>
      <c r="Q388" s="13">
        <f t="shared" si="45"/>
        <v>0</v>
      </c>
      <c r="R388" s="11">
        <v>0</v>
      </c>
      <c r="S388" s="13">
        <f t="shared" si="46"/>
        <v>0</v>
      </c>
      <c r="T388" s="9">
        <v>1</v>
      </c>
      <c r="U388" s="13">
        <f t="shared" si="47"/>
        <v>3.42536137562513</v>
      </c>
      <c r="V388" s="12">
        <f t="shared" si="48"/>
        <v>0.025</v>
      </c>
      <c r="W388" s="17">
        <f>COUNTIFS(源数据[日期],源数据[[#This Row],[日期]],源数据[账号id],源数据[[#This Row],[账号id]])</f>
        <v>1</v>
      </c>
      <c r="X388" s="15">
        <f>IFERROR(源数据[[#This Row],[点击量]]/源数据[[#This Row],[展示量]],"")</f>
        <v>0.025</v>
      </c>
      <c r="Y388" s="16">
        <f>IFERROR(源数据[[#This Row],[播放量]]/源数据[[#This Row],[展示量]],"")</f>
        <v>0.025</v>
      </c>
      <c r="Z388" s="16">
        <f>IFERROR(源数据[[#This Row],[三连投放总消耗(毫分)]]/源数据[[#This Row],[播放量]],"")</f>
        <v>0.29194</v>
      </c>
      <c r="AA38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89" s="2" customFormat="1" spans="1:27">
      <c r="A389" s="7">
        <v>46204</v>
      </c>
      <c r="B389" s="8" t="s">
        <v>873</v>
      </c>
      <c r="C389" s="8" t="s">
        <v>874</v>
      </c>
      <c r="D389" s="8" t="s">
        <v>91</v>
      </c>
      <c r="E389" s="8" t="s">
        <v>92</v>
      </c>
      <c r="F389" s="8" t="s">
        <v>110</v>
      </c>
      <c r="G389" s="9">
        <v>45</v>
      </c>
      <c r="H389" s="9">
        <v>4</v>
      </c>
      <c r="I389" s="10">
        <v>0.26061</v>
      </c>
      <c r="J389" s="11">
        <v>0.24</v>
      </c>
      <c r="K389" s="12">
        <f t="shared" si="42"/>
        <v>0.0888888888888889</v>
      </c>
      <c r="L389" s="13">
        <f t="shared" si="43"/>
        <v>5.79133333333333</v>
      </c>
      <c r="M389" s="13">
        <f t="shared" si="44"/>
        <v>0.0651525</v>
      </c>
      <c r="N389" s="11">
        <v>0</v>
      </c>
      <c r="O389" s="11">
        <v>0</v>
      </c>
      <c r="P389" s="11">
        <v>0.01</v>
      </c>
      <c r="Q389" s="13">
        <f t="shared" si="45"/>
        <v>0.0383715129887571</v>
      </c>
      <c r="R389" s="11">
        <v>0.01</v>
      </c>
      <c r="S389" s="13">
        <f t="shared" si="46"/>
        <v>0.0383715129887571</v>
      </c>
      <c r="T389" s="9">
        <v>4</v>
      </c>
      <c r="U389" s="13">
        <f t="shared" si="47"/>
        <v>15.3486051955029</v>
      </c>
      <c r="V389" s="12">
        <f t="shared" si="48"/>
        <v>0.0888888888888889</v>
      </c>
      <c r="W389" s="17">
        <f>COUNTIFS(源数据[日期],源数据[[#This Row],[日期]],源数据[账号id],源数据[[#This Row],[账号id]])</f>
        <v>1</v>
      </c>
      <c r="X389" s="15">
        <f>IFERROR(源数据[[#This Row],[点击量]]/源数据[[#This Row],[展示量]],"")</f>
        <v>0.0888888888888889</v>
      </c>
      <c r="Y389" s="16">
        <f>IFERROR(源数据[[#This Row],[播放量]]/源数据[[#This Row],[展示量]],"")</f>
        <v>0.0888888888888889</v>
      </c>
      <c r="Z389" s="16">
        <f>IFERROR(源数据[[#This Row],[三连投放总消耗(毫分)]]/源数据[[#This Row],[播放量]],"")</f>
        <v>0.0651525</v>
      </c>
      <c r="AA38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90" s="2" customFormat="1" spans="1:27">
      <c r="A390" s="7">
        <v>46204</v>
      </c>
      <c r="B390" s="8" t="s">
        <v>875</v>
      </c>
      <c r="C390" s="8" t="s">
        <v>876</v>
      </c>
      <c r="D390" s="8" t="s">
        <v>91</v>
      </c>
      <c r="E390" s="8" t="s">
        <v>92</v>
      </c>
      <c r="F390" s="8" t="s">
        <v>110</v>
      </c>
      <c r="G390" s="9">
        <v>45</v>
      </c>
      <c r="H390" s="9">
        <v>0</v>
      </c>
      <c r="I390" s="10">
        <v>0.25871</v>
      </c>
      <c r="J390" s="11">
        <v>0.23</v>
      </c>
      <c r="K390" s="12">
        <f t="shared" si="42"/>
        <v>0</v>
      </c>
      <c r="L390" s="13">
        <f t="shared" si="43"/>
        <v>5.74911111111111</v>
      </c>
      <c r="M390" s="13">
        <f t="shared" si="44"/>
        <v>0</v>
      </c>
      <c r="N390" s="11">
        <v>0</v>
      </c>
      <c r="O390" s="11">
        <v>0</v>
      </c>
      <c r="P390" s="11">
        <v>0</v>
      </c>
      <c r="Q390" s="13">
        <f t="shared" si="45"/>
        <v>0</v>
      </c>
      <c r="R390" s="11">
        <v>0</v>
      </c>
      <c r="S390" s="13">
        <f t="shared" si="46"/>
        <v>0</v>
      </c>
      <c r="T390" s="9">
        <v>1</v>
      </c>
      <c r="U390" s="13">
        <f t="shared" si="47"/>
        <v>3.86533183873836</v>
      </c>
      <c r="V390" s="12">
        <f t="shared" si="48"/>
        <v>0.0222222222222222</v>
      </c>
      <c r="W390" s="17">
        <f>COUNTIFS(源数据[日期],源数据[[#This Row],[日期]],源数据[账号id],源数据[[#This Row],[账号id]])</f>
        <v>1</v>
      </c>
      <c r="X390" s="15">
        <f>IFERROR(源数据[[#This Row],[点击量]]/源数据[[#This Row],[展示量]],"")</f>
        <v>0</v>
      </c>
      <c r="Y390" s="16">
        <f>IFERROR(源数据[[#This Row],[播放量]]/源数据[[#This Row],[展示量]],"")</f>
        <v>0.0222222222222222</v>
      </c>
      <c r="Z390" s="16">
        <f>IFERROR(源数据[[#This Row],[三连投放总消耗(毫分)]]/源数据[[#This Row],[播放量]],"")</f>
        <v>0.25871</v>
      </c>
      <c r="AA39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91" s="2" customFormat="1" spans="1:27">
      <c r="A391" s="7">
        <v>46204</v>
      </c>
      <c r="B391" s="8" t="s">
        <v>877</v>
      </c>
      <c r="C391" s="8" t="s">
        <v>878</v>
      </c>
      <c r="D391" s="8" t="s">
        <v>91</v>
      </c>
      <c r="E391" s="8" t="s">
        <v>92</v>
      </c>
      <c r="F391" s="8" t="s">
        <v>110</v>
      </c>
      <c r="G391" s="9">
        <v>78</v>
      </c>
      <c r="H391" s="9">
        <v>2</v>
      </c>
      <c r="I391" s="10">
        <v>0.25845</v>
      </c>
      <c r="J391" s="11">
        <v>0.24</v>
      </c>
      <c r="K391" s="12">
        <f t="shared" si="42"/>
        <v>0.0256410256410256</v>
      </c>
      <c r="L391" s="13">
        <f t="shared" si="43"/>
        <v>3.31346153846154</v>
      </c>
      <c r="M391" s="13">
        <f t="shared" si="44"/>
        <v>0.129225</v>
      </c>
      <c r="N391" s="11">
        <v>0</v>
      </c>
      <c r="O391" s="11">
        <v>0</v>
      </c>
      <c r="P391" s="11">
        <v>0</v>
      </c>
      <c r="Q391" s="13">
        <f t="shared" si="45"/>
        <v>0</v>
      </c>
      <c r="R391" s="11">
        <v>0</v>
      </c>
      <c r="S391" s="13">
        <f t="shared" si="46"/>
        <v>0</v>
      </c>
      <c r="T391" s="9">
        <v>3</v>
      </c>
      <c r="U391" s="13">
        <f t="shared" si="47"/>
        <v>11.6076610562972</v>
      </c>
      <c r="V391" s="12">
        <f t="shared" si="48"/>
        <v>0.0384615384615385</v>
      </c>
      <c r="W391" s="17">
        <f>COUNTIFS(源数据[日期],源数据[[#This Row],[日期]],源数据[账号id],源数据[[#This Row],[账号id]])</f>
        <v>1</v>
      </c>
      <c r="X391" s="15">
        <f>IFERROR(源数据[[#This Row],[点击量]]/源数据[[#This Row],[展示量]],"")</f>
        <v>0.0256410256410256</v>
      </c>
      <c r="Y391" s="16">
        <f>IFERROR(源数据[[#This Row],[播放量]]/源数据[[#This Row],[展示量]],"")</f>
        <v>0.0384615384615385</v>
      </c>
      <c r="Z391" s="16">
        <f>IFERROR(源数据[[#This Row],[三连投放总消耗(毫分)]]/源数据[[#This Row],[播放量]],"")</f>
        <v>0.08615</v>
      </c>
      <c r="AA39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92" s="2" customFormat="1" spans="1:27">
      <c r="A392" s="7">
        <v>46204</v>
      </c>
      <c r="B392" s="8" t="s">
        <v>879</v>
      </c>
      <c r="C392" s="8" t="s">
        <v>880</v>
      </c>
      <c r="D392" s="8" t="s">
        <v>91</v>
      </c>
      <c r="E392" s="8" t="s">
        <v>92</v>
      </c>
      <c r="F392" s="8" t="s">
        <v>110</v>
      </c>
      <c r="G392" s="9">
        <v>58</v>
      </c>
      <c r="H392" s="9">
        <v>1</v>
      </c>
      <c r="I392" s="10">
        <v>0.25092</v>
      </c>
      <c r="J392" s="11">
        <v>0.23</v>
      </c>
      <c r="K392" s="12">
        <f t="shared" si="42"/>
        <v>0.0172413793103448</v>
      </c>
      <c r="L392" s="13">
        <f t="shared" si="43"/>
        <v>4.32620689655172</v>
      </c>
      <c r="M392" s="13">
        <f t="shared" si="44"/>
        <v>0.25092</v>
      </c>
      <c r="N392" s="11">
        <v>0</v>
      </c>
      <c r="O392" s="11">
        <v>0</v>
      </c>
      <c r="P392" s="11">
        <v>0</v>
      </c>
      <c r="Q392" s="13">
        <f t="shared" si="45"/>
        <v>0</v>
      </c>
      <c r="R392" s="11">
        <v>0</v>
      </c>
      <c r="S392" s="13">
        <f t="shared" si="46"/>
        <v>0</v>
      </c>
      <c r="T392" s="9">
        <v>2</v>
      </c>
      <c r="U392" s="13">
        <f t="shared" si="47"/>
        <v>7.97066794197354</v>
      </c>
      <c r="V392" s="12">
        <f t="shared" si="48"/>
        <v>0.0344827586206897</v>
      </c>
      <c r="W392" s="17">
        <f>COUNTIFS(源数据[日期],源数据[[#This Row],[日期]],源数据[账号id],源数据[[#This Row],[账号id]])</f>
        <v>1</v>
      </c>
      <c r="X392" s="15">
        <f>IFERROR(源数据[[#This Row],[点击量]]/源数据[[#This Row],[展示量]],"")</f>
        <v>0.0172413793103448</v>
      </c>
      <c r="Y392" s="16">
        <f>IFERROR(源数据[[#This Row],[播放量]]/源数据[[#This Row],[展示量]],"")</f>
        <v>0.0344827586206897</v>
      </c>
      <c r="Z392" s="16">
        <f>IFERROR(源数据[[#This Row],[三连投放总消耗(毫分)]]/源数据[[#This Row],[播放量]],"")</f>
        <v>0.12546</v>
      </c>
      <c r="AA39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93" s="2" customFormat="1" spans="1:27">
      <c r="A393" s="7">
        <v>46204</v>
      </c>
      <c r="B393" s="8" t="s">
        <v>881</v>
      </c>
      <c r="C393" s="8" t="s">
        <v>882</v>
      </c>
      <c r="D393" s="8" t="s">
        <v>91</v>
      </c>
      <c r="E393" s="8" t="s">
        <v>92</v>
      </c>
      <c r="F393" s="8" t="s">
        <v>748</v>
      </c>
      <c r="G393" s="9">
        <v>214</v>
      </c>
      <c r="H393" s="9">
        <v>1</v>
      </c>
      <c r="I393" s="10">
        <v>0.24693</v>
      </c>
      <c r="J393" s="11">
        <v>0.21</v>
      </c>
      <c r="K393" s="12">
        <f t="shared" si="42"/>
        <v>0.00467289719626168</v>
      </c>
      <c r="L393" s="13">
        <f t="shared" si="43"/>
        <v>1.1538785046729</v>
      </c>
      <c r="M393" s="13">
        <f t="shared" si="44"/>
        <v>0.24693</v>
      </c>
      <c r="N393" s="11">
        <v>0</v>
      </c>
      <c r="O393" s="11">
        <v>0</v>
      </c>
      <c r="P393" s="11">
        <v>0.09</v>
      </c>
      <c r="Q393" s="13">
        <f t="shared" si="45"/>
        <v>0.364475762361803</v>
      </c>
      <c r="R393" s="11">
        <v>0.09</v>
      </c>
      <c r="S393" s="13">
        <f t="shared" si="46"/>
        <v>0.364475762361803</v>
      </c>
      <c r="T393" s="9">
        <v>1</v>
      </c>
      <c r="U393" s="13">
        <f t="shared" si="47"/>
        <v>4.04973069290892</v>
      </c>
      <c r="V393" s="12">
        <f t="shared" si="48"/>
        <v>0.00467289719626168</v>
      </c>
      <c r="W393" s="17">
        <f>COUNTIFS(源数据[日期],源数据[[#This Row],[日期]],源数据[账号id],源数据[[#This Row],[账号id]])</f>
        <v>1</v>
      </c>
      <c r="X393" s="15">
        <f>IFERROR(源数据[[#This Row],[点击量]]/源数据[[#This Row],[展示量]],"")</f>
        <v>0.00467289719626168</v>
      </c>
      <c r="Y393" s="16">
        <f>IFERROR(源数据[[#This Row],[播放量]]/源数据[[#This Row],[展示量]],"")</f>
        <v>0.00467289719626168</v>
      </c>
      <c r="Z393" s="16">
        <f>IFERROR(源数据[[#This Row],[三连投放总消耗(毫分)]]/源数据[[#This Row],[播放量]],"")</f>
        <v>0.24693</v>
      </c>
      <c r="AA39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94" s="2" customFormat="1" spans="1:27">
      <c r="A394" s="7">
        <v>46204</v>
      </c>
      <c r="B394" s="8" t="s">
        <v>883</v>
      </c>
      <c r="C394" s="8" t="s">
        <v>884</v>
      </c>
      <c r="D394" s="8" t="s">
        <v>91</v>
      </c>
      <c r="E394" s="8" t="s">
        <v>92</v>
      </c>
      <c r="F394" s="8" t="s">
        <v>110</v>
      </c>
      <c r="G394" s="9">
        <v>54</v>
      </c>
      <c r="H394" s="9">
        <v>2</v>
      </c>
      <c r="I394" s="10">
        <v>0.24325</v>
      </c>
      <c r="J394" s="11">
        <v>0.23</v>
      </c>
      <c r="K394" s="12">
        <f t="shared" si="42"/>
        <v>0.037037037037037</v>
      </c>
      <c r="L394" s="13">
        <f t="shared" si="43"/>
        <v>4.50462962962963</v>
      </c>
      <c r="M394" s="13">
        <f t="shared" si="44"/>
        <v>0.121625</v>
      </c>
      <c r="N394" s="11">
        <v>0</v>
      </c>
      <c r="O394" s="11">
        <v>0</v>
      </c>
      <c r="P394" s="11">
        <v>0</v>
      </c>
      <c r="Q394" s="13">
        <f t="shared" si="45"/>
        <v>0</v>
      </c>
      <c r="R394" s="11">
        <v>0</v>
      </c>
      <c r="S394" s="13">
        <f t="shared" si="46"/>
        <v>0</v>
      </c>
      <c r="T394" s="9">
        <v>4</v>
      </c>
      <c r="U394" s="13">
        <f t="shared" si="47"/>
        <v>16.4439876670092</v>
      </c>
      <c r="V394" s="12">
        <f t="shared" si="48"/>
        <v>0.0740740740740741</v>
      </c>
      <c r="W394" s="17">
        <f>COUNTIFS(源数据[日期],源数据[[#This Row],[日期]],源数据[账号id],源数据[[#This Row],[账号id]])</f>
        <v>1</v>
      </c>
      <c r="X394" s="15">
        <f>IFERROR(源数据[[#This Row],[点击量]]/源数据[[#This Row],[展示量]],"")</f>
        <v>0.037037037037037</v>
      </c>
      <c r="Y394" s="16">
        <f>IFERROR(源数据[[#This Row],[播放量]]/源数据[[#This Row],[展示量]],"")</f>
        <v>0.0740740740740741</v>
      </c>
      <c r="Z394" s="16">
        <f>IFERROR(源数据[[#This Row],[三连投放总消耗(毫分)]]/源数据[[#This Row],[播放量]],"")</f>
        <v>0.0608125</v>
      </c>
      <c r="AA39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95" s="2" customFormat="1" spans="1:27">
      <c r="A395" s="7">
        <v>46204</v>
      </c>
      <c r="B395" s="8" t="s">
        <v>885</v>
      </c>
      <c r="C395" s="8" t="s">
        <v>886</v>
      </c>
      <c r="D395" s="8" t="s">
        <v>91</v>
      </c>
      <c r="E395" s="8" t="s">
        <v>92</v>
      </c>
      <c r="F395" s="8" t="s">
        <v>748</v>
      </c>
      <c r="G395" s="9">
        <v>40</v>
      </c>
      <c r="H395" s="9">
        <v>1</v>
      </c>
      <c r="I395" s="10">
        <v>0.24245</v>
      </c>
      <c r="J395" s="11">
        <v>0.21</v>
      </c>
      <c r="K395" s="12">
        <f t="shared" si="42"/>
        <v>0.025</v>
      </c>
      <c r="L395" s="13">
        <f t="shared" si="43"/>
        <v>6.06125</v>
      </c>
      <c r="M395" s="13">
        <f t="shared" si="44"/>
        <v>0.24245</v>
      </c>
      <c r="N395" s="11">
        <v>0</v>
      </c>
      <c r="O395" s="11">
        <v>0</v>
      </c>
      <c r="P395" s="11">
        <v>0</v>
      </c>
      <c r="Q395" s="13">
        <f t="shared" si="45"/>
        <v>0</v>
      </c>
      <c r="R395" s="11">
        <v>0</v>
      </c>
      <c r="S395" s="13">
        <f t="shared" si="46"/>
        <v>0</v>
      </c>
      <c r="T395" s="9">
        <v>1</v>
      </c>
      <c r="U395" s="13">
        <f t="shared" si="47"/>
        <v>4.12456176531244</v>
      </c>
      <c r="V395" s="12">
        <f t="shared" si="48"/>
        <v>0.025</v>
      </c>
      <c r="W395" s="17">
        <f>COUNTIFS(源数据[日期],源数据[[#This Row],[日期]],源数据[账号id],源数据[[#This Row],[账号id]])</f>
        <v>1</v>
      </c>
      <c r="X395" s="15">
        <f>IFERROR(源数据[[#This Row],[点击量]]/源数据[[#This Row],[展示量]],"")</f>
        <v>0.025</v>
      </c>
      <c r="Y395" s="16">
        <f>IFERROR(源数据[[#This Row],[播放量]]/源数据[[#This Row],[展示量]],"")</f>
        <v>0.025</v>
      </c>
      <c r="Z395" s="16">
        <f>IFERROR(源数据[[#This Row],[三连投放总消耗(毫分)]]/源数据[[#This Row],[播放量]],"")</f>
        <v>0.24245</v>
      </c>
      <c r="AA39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96" s="2" customFormat="1" spans="1:27">
      <c r="A396" s="7">
        <v>46204</v>
      </c>
      <c r="B396" s="8" t="s">
        <v>887</v>
      </c>
      <c r="C396" s="8" t="s">
        <v>888</v>
      </c>
      <c r="D396" s="8" t="s">
        <v>91</v>
      </c>
      <c r="E396" s="8" t="s">
        <v>92</v>
      </c>
      <c r="F396" s="8" t="s">
        <v>110</v>
      </c>
      <c r="G396" s="9">
        <v>45</v>
      </c>
      <c r="H396" s="9">
        <v>2</v>
      </c>
      <c r="I396" s="10">
        <v>0.24239</v>
      </c>
      <c r="J396" s="11">
        <v>0.23</v>
      </c>
      <c r="K396" s="12">
        <f t="shared" si="42"/>
        <v>0.0444444444444444</v>
      </c>
      <c r="L396" s="13">
        <f t="shared" si="43"/>
        <v>5.38644444444444</v>
      </c>
      <c r="M396" s="13">
        <f t="shared" si="44"/>
        <v>0.121195</v>
      </c>
      <c r="N396" s="11">
        <v>0</v>
      </c>
      <c r="O396" s="11">
        <v>0</v>
      </c>
      <c r="P396" s="11">
        <v>0</v>
      </c>
      <c r="Q396" s="13">
        <f t="shared" si="45"/>
        <v>0</v>
      </c>
      <c r="R396" s="11">
        <v>0</v>
      </c>
      <c r="S396" s="13">
        <f t="shared" si="46"/>
        <v>0</v>
      </c>
      <c r="T396" s="9">
        <v>3</v>
      </c>
      <c r="U396" s="13">
        <f t="shared" si="47"/>
        <v>12.3767482156855</v>
      </c>
      <c r="V396" s="12">
        <f t="shared" si="48"/>
        <v>0.0666666666666667</v>
      </c>
      <c r="W396" s="17">
        <f>COUNTIFS(源数据[日期],源数据[[#This Row],[日期]],源数据[账号id],源数据[[#This Row],[账号id]])</f>
        <v>1</v>
      </c>
      <c r="X396" s="15">
        <f>IFERROR(源数据[[#This Row],[点击量]]/源数据[[#This Row],[展示量]],"")</f>
        <v>0.0444444444444444</v>
      </c>
      <c r="Y396" s="16">
        <f>IFERROR(源数据[[#This Row],[播放量]]/源数据[[#This Row],[展示量]],"")</f>
        <v>0.0666666666666667</v>
      </c>
      <c r="Z396" s="16">
        <f>IFERROR(源数据[[#This Row],[三连投放总消耗(毫分)]]/源数据[[#This Row],[播放量]],"")</f>
        <v>0.0807966666666667</v>
      </c>
      <c r="AA39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97" s="2" customFormat="1" spans="1:27">
      <c r="A397" s="7">
        <v>46204</v>
      </c>
      <c r="B397" s="8" t="s">
        <v>889</v>
      </c>
      <c r="C397" s="8" t="s">
        <v>890</v>
      </c>
      <c r="D397" s="8" t="s">
        <v>91</v>
      </c>
      <c r="E397" s="8" t="s">
        <v>92</v>
      </c>
      <c r="F397" s="8" t="s">
        <v>110</v>
      </c>
      <c r="G397" s="9">
        <v>50</v>
      </c>
      <c r="H397" s="9">
        <v>1</v>
      </c>
      <c r="I397" s="10">
        <v>0.22591</v>
      </c>
      <c r="J397" s="11">
        <v>0.2</v>
      </c>
      <c r="K397" s="12">
        <f t="shared" si="42"/>
        <v>0.02</v>
      </c>
      <c r="L397" s="13">
        <f t="shared" si="43"/>
        <v>4.5182</v>
      </c>
      <c r="M397" s="13">
        <f t="shared" si="44"/>
        <v>0.22591</v>
      </c>
      <c r="N397" s="11">
        <v>0</v>
      </c>
      <c r="O397" s="11">
        <v>0</v>
      </c>
      <c r="P397" s="11">
        <v>0</v>
      </c>
      <c r="Q397" s="13">
        <f t="shared" si="45"/>
        <v>0</v>
      </c>
      <c r="R397" s="11">
        <v>0</v>
      </c>
      <c r="S397" s="13">
        <f t="shared" si="46"/>
        <v>0</v>
      </c>
      <c r="T397" s="9">
        <v>2</v>
      </c>
      <c r="U397" s="13">
        <f t="shared" si="47"/>
        <v>8.85308308618476</v>
      </c>
      <c r="V397" s="12">
        <f t="shared" si="48"/>
        <v>0.04</v>
      </c>
      <c r="W397" s="17">
        <f>COUNTIFS(源数据[日期],源数据[[#This Row],[日期]],源数据[账号id],源数据[[#This Row],[账号id]])</f>
        <v>1</v>
      </c>
      <c r="X397" s="15">
        <f>IFERROR(源数据[[#This Row],[点击量]]/源数据[[#This Row],[展示量]],"")</f>
        <v>0.02</v>
      </c>
      <c r="Y397" s="16">
        <f>IFERROR(源数据[[#This Row],[播放量]]/源数据[[#This Row],[展示量]],"")</f>
        <v>0.04</v>
      </c>
      <c r="Z397" s="16">
        <f>IFERROR(源数据[[#This Row],[三连投放总消耗(毫分)]]/源数据[[#This Row],[播放量]],"")</f>
        <v>0.112955</v>
      </c>
      <c r="AA39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98" s="2" customFormat="1" spans="1:27">
      <c r="A398" s="7">
        <v>46204</v>
      </c>
      <c r="B398" s="8" t="s">
        <v>891</v>
      </c>
      <c r="C398" s="8" t="s">
        <v>892</v>
      </c>
      <c r="D398" s="8" t="s">
        <v>91</v>
      </c>
      <c r="E398" s="8" t="s">
        <v>92</v>
      </c>
      <c r="F398" s="8" t="s">
        <v>110</v>
      </c>
      <c r="G398" s="9">
        <v>20</v>
      </c>
      <c r="H398" s="9">
        <v>0</v>
      </c>
      <c r="I398" s="10">
        <v>0.22496</v>
      </c>
      <c r="J398" s="11">
        <v>0.2</v>
      </c>
      <c r="K398" s="12">
        <f t="shared" si="42"/>
        <v>0</v>
      </c>
      <c r="L398" s="13">
        <f t="shared" si="43"/>
        <v>11.248</v>
      </c>
      <c r="M398" s="13">
        <f t="shared" si="44"/>
        <v>0</v>
      </c>
      <c r="N398" s="11">
        <v>0</v>
      </c>
      <c r="O398" s="11">
        <v>0</v>
      </c>
      <c r="P398" s="11">
        <v>0</v>
      </c>
      <c r="Q398" s="13">
        <f t="shared" si="45"/>
        <v>0</v>
      </c>
      <c r="R398" s="11">
        <v>0</v>
      </c>
      <c r="S398" s="13">
        <f t="shared" si="46"/>
        <v>0</v>
      </c>
      <c r="T398" s="9">
        <v>1</v>
      </c>
      <c r="U398" s="13">
        <f t="shared" si="47"/>
        <v>4.4452347083926</v>
      </c>
      <c r="V398" s="12">
        <f t="shared" si="48"/>
        <v>0.05</v>
      </c>
      <c r="W398" s="17">
        <f>COUNTIFS(源数据[日期],源数据[[#This Row],[日期]],源数据[账号id],源数据[[#This Row],[账号id]])</f>
        <v>1</v>
      </c>
      <c r="X398" s="15">
        <f>IFERROR(源数据[[#This Row],[点击量]]/源数据[[#This Row],[展示量]],"")</f>
        <v>0</v>
      </c>
      <c r="Y398" s="16">
        <f>IFERROR(源数据[[#This Row],[播放量]]/源数据[[#This Row],[展示量]],"")</f>
        <v>0.05</v>
      </c>
      <c r="Z398" s="16">
        <f>IFERROR(源数据[[#This Row],[三连投放总消耗(毫分)]]/源数据[[#This Row],[播放量]],"")</f>
        <v>0.22496</v>
      </c>
      <c r="AA39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399" s="2" customFormat="1" spans="1:27">
      <c r="A399" s="7">
        <v>46204</v>
      </c>
      <c r="B399" s="8" t="s">
        <v>893</v>
      </c>
      <c r="C399" s="8" t="s">
        <v>894</v>
      </c>
      <c r="D399" s="8" t="s">
        <v>91</v>
      </c>
      <c r="E399" s="8" t="s">
        <v>92</v>
      </c>
      <c r="F399" s="8" t="s">
        <v>110</v>
      </c>
      <c r="G399" s="9">
        <v>70</v>
      </c>
      <c r="H399" s="9">
        <v>0</v>
      </c>
      <c r="I399" s="10">
        <v>0.22333</v>
      </c>
      <c r="J399" s="11">
        <v>0.21</v>
      </c>
      <c r="K399" s="12">
        <f t="shared" si="42"/>
        <v>0</v>
      </c>
      <c r="L399" s="13">
        <f t="shared" si="43"/>
        <v>3.19042857142857</v>
      </c>
      <c r="M399" s="13">
        <f t="shared" si="44"/>
        <v>0</v>
      </c>
      <c r="N399" s="11">
        <v>0</v>
      </c>
      <c r="O399" s="11">
        <v>0</v>
      </c>
      <c r="P399" s="11">
        <v>0</v>
      </c>
      <c r="Q399" s="13">
        <f t="shared" si="45"/>
        <v>0</v>
      </c>
      <c r="R399" s="11">
        <v>0</v>
      </c>
      <c r="S399" s="13">
        <f t="shared" si="46"/>
        <v>0</v>
      </c>
      <c r="T399" s="9">
        <v>0</v>
      </c>
      <c r="U399" s="13">
        <f t="shared" si="47"/>
        <v>0</v>
      </c>
      <c r="V399" s="12">
        <f t="shared" si="48"/>
        <v>0</v>
      </c>
      <c r="W399" s="17">
        <f>COUNTIFS(源数据[日期],源数据[[#This Row],[日期]],源数据[账号id],源数据[[#This Row],[账号id]])</f>
        <v>1</v>
      </c>
      <c r="X399" s="15">
        <f>IFERROR(源数据[[#This Row],[点击量]]/源数据[[#This Row],[展示量]],"")</f>
        <v>0</v>
      </c>
      <c r="Y399" s="16">
        <f>IFERROR(源数据[[#This Row],[播放量]]/源数据[[#This Row],[展示量]],"")</f>
        <v>0</v>
      </c>
      <c r="Z399" s="16" t="str">
        <f>IFERROR(源数据[[#This Row],[三连投放总消耗(毫分)]]/源数据[[#This Row],[播放量]],"")</f>
        <v/>
      </c>
      <c r="AA39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00" s="2" customFormat="1" spans="1:27">
      <c r="A400" s="7">
        <v>46204</v>
      </c>
      <c r="B400" s="8" t="s">
        <v>895</v>
      </c>
      <c r="C400" s="8" t="s">
        <v>896</v>
      </c>
      <c r="D400" s="8" t="s">
        <v>91</v>
      </c>
      <c r="E400" s="8" t="s">
        <v>92</v>
      </c>
      <c r="F400" s="8" t="s">
        <v>110</v>
      </c>
      <c r="G400" s="9">
        <v>29</v>
      </c>
      <c r="H400" s="9">
        <v>1</v>
      </c>
      <c r="I400" s="10">
        <v>0.21291</v>
      </c>
      <c r="J400" s="11">
        <v>0.19</v>
      </c>
      <c r="K400" s="12">
        <f t="shared" si="42"/>
        <v>0.0344827586206897</v>
      </c>
      <c r="L400" s="13">
        <f t="shared" si="43"/>
        <v>7.34172413793103</v>
      </c>
      <c r="M400" s="13">
        <f t="shared" si="44"/>
        <v>0.21291</v>
      </c>
      <c r="N400" s="11">
        <v>0</v>
      </c>
      <c r="O400" s="11">
        <v>0</v>
      </c>
      <c r="P400" s="11">
        <v>0.19</v>
      </c>
      <c r="Q400" s="13">
        <f t="shared" si="45"/>
        <v>0.892395848010897</v>
      </c>
      <c r="R400" s="11">
        <v>0.19</v>
      </c>
      <c r="S400" s="13">
        <f t="shared" si="46"/>
        <v>0.892395848010897</v>
      </c>
      <c r="T400" s="9">
        <v>1</v>
      </c>
      <c r="U400" s="13">
        <f t="shared" si="47"/>
        <v>4.69682025268893</v>
      </c>
      <c r="V400" s="12">
        <f t="shared" si="48"/>
        <v>0.0344827586206897</v>
      </c>
      <c r="W400" s="17">
        <f>COUNTIFS(源数据[日期],源数据[[#This Row],[日期]],源数据[账号id],源数据[[#This Row],[账号id]])</f>
        <v>1</v>
      </c>
      <c r="X400" s="15">
        <f>IFERROR(源数据[[#This Row],[点击量]]/源数据[[#This Row],[展示量]],"")</f>
        <v>0.0344827586206897</v>
      </c>
      <c r="Y400" s="16">
        <f>IFERROR(源数据[[#This Row],[播放量]]/源数据[[#This Row],[展示量]],"")</f>
        <v>0.0344827586206897</v>
      </c>
      <c r="Z400" s="16">
        <f>IFERROR(源数据[[#This Row],[三连投放总消耗(毫分)]]/源数据[[#This Row],[播放量]],"")</f>
        <v>0.21291</v>
      </c>
      <c r="AA40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01" s="2" customFormat="1" spans="1:27">
      <c r="A401" s="7">
        <v>46204</v>
      </c>
      <c r="B401" s="8" t="s">
        <v>897</v>
      </c>
      <c r="C401" s="8" t="s">
        <v>898</v>
      </c>
      <c r="D401" s="8" t="s">
        <v>91</v>
      </c>
      <c r="E401" s="8" t="s">
        <v>92</v>
      </c>
      <c r="F401" s="8" t="s">
        <v>96</v>
      </c>
      <c r="G401" s="9">
        <v>92</v>
      </c>
      <c r="H401" s="9">
        <v>0</v>
      </c>
      <c r="I401" s="10">
        <v>0.21191</v>
      </c>
      <c r="J401" s="11">
        <v>0.2</v>
      </c>
      <c r="K401" s="12">
        <f t="shared" si="42"/>
        <v>0</v>
      </c>
      <c r="L401" s="13">
        <f t="shared" si="43"/>
        <v>2.30336956521739</v>
      </c>
      <c r="M401" s="13">
        <f t="shared" si="44"/>
        <v>0</v>
      </c>
      <c r="N401" s="11">
        <v>0</v>
      </c>
      <c r="O401" s="11">
        <v>0</v>
      </c>
      <c r="P401" s="11">
        <v>0</v>
      </c>
      <c r="Q401" s="13">
        <f t="shared" si="45"/>
        <v>0</v>
      </c>
      <c r="R401" s="11">
        <v>0</v>
      </c>
      <c r="S401" s="13">
        <f t="shared" si="46"/>
        <v>0</v>
      </c>
      <c r="T401" s="9">
        <v>9</v>
      </c>
      <c r="U401" s="13">
        <f t="shared" si="47"/>
        <v>42.4708602708697</v>
      </c>
      <c r="V401" s="12">
        <f t="shared" si="48"/>
        <v>0.0978260869565217</v>
      </c>
      <c r="W401" s="17">
        <f>COUNTIFS(源数据[日期],源数据[[#This Row],[日期]],源数据[账号id],源数据[[#This Row],[账号id]])</f>
        <v>1</v>
      </c>
      <c r="X401" s="15">
        <f>IFERROR(源数据[[#This Row],[点击量]]/源数据[[#This Row],[展示量]],"")</f>
        <v>0</v>
      </c>
      <c r="Y401" s="16">
        <f>IFERROR(源数据[[#This Row],[播放量]]/源数据[[#This Row],[展示量]],"")</f>
        <v>0.0978260869565217</v>
      </c>
      <c r="Z401" s="16">
        <f>IFERROR(源数据[[#This Row],[三连投放总消耗(毫分)]]/源数据[[#This Row],[播放量]],"")</f>
        <v>0.0235455555555556</v>
      </c>
      <c r="AA40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02" s="2" customFormat="1" spans="1:27">
      <c r="A402" s="7">
        <v>46204</v>
      </c>
      <c r="B402" s="8" t="s">
        <v>899</v>
      </c>
      <c r="C402" s="8" t="s">
        <v>900</v>
      </c>
      <c r="D402" s="8" t="s">
        <v>91</v>
      </c>
      <c r="E402" s="8" t="s">
        <v>92</v>
      </c>
      <c r="F402" s="8" t="s">
        <v>93</v>
      </c>
      <c r="G402" s="9">
        <v>30</v>
      </c>
      <c r="H402" s="9">
        <v>1</v>
      </c>
      <c r="I402" s="10">
        <v>0.20913</v>
      </c>
      <c r="J402" s="11">
        <v>0.2</v>
      </c>
      <c r="K402" s="12">
        <f t="shared" si="42"/>
        <v>0.0333333333333333</v>
      </c>
      <c r="L402" s="13">
        <f t="shared" si="43"/>
        <v>6.971</v>
      </c>
      <c r="M402" s="13">
        <f t="shared" si="44"/>
        <v>0.20913</v>
      </c>
      <c r="N402" s="11">
        <v>0</v>
      </c>
      <c r="O402" s="11">
        <v>0</v>
      </c>
      <c r="P402" s="11">
        <v>0.26</v>
      </c>
      <c r="Q402" s="13">
        <f t="shared" si="45"/>
        <v>1.2432458279539</v>
      </c>
      <c r="R402" s="11">
        <v>0.26</v>
      </c>
      <c r="S402" s="13">
        <f t="shared" si="46"/>
        <v>1.2432458279539</v>
      </c>
      <c r="T402" s="9">
        <v>4</v>
      </c>
      <c r="U402" s="13">
        <f t="shared" si="47"/>
        <v>19.1268588915985</v>
      </c>
      <c r="V402" s="12">
        <f t="shared" si="48"/>
        <v>0.133333333333333</v>
      </c>
      <c r="W402" s="17">
        <f>COUNTIFS(源数据[日期],源数据[[#This Row],[日期]],源数据[账号id],源数据[[#This Row],[账号id]])</f>
        <v>1</v>
      </c>
      <c r="X402" s="15">
        <f>IFERROR(源数据[[#This Row],[点击量]]/源数据[[#This Row],[展示量]],"")</f>
        <v>0.0333333333333333</v>
      </c>
      <c r="Y402" s="16">
        <f>IFERROR(源数据[[#This Row],[播放量]]/源数据[[#This Row],[展示量]],"")</f>
        <v>0.133333333333333</v>
      </c>
      <c r="Z402" s="16">
        <f>IFERROR(源数据[[#This Row],[三连投放总消耗(毫分)]]/源数据[[#This Row],[播放量]],"")</f>
        <v>0.0522825</v>
      </c>
      <c r="AA40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03" s="2" customFormat="1" spans="1:27">
      <c r="A403" s="7">
        <v>46204</v>
      </c>
      <c r="B403" s="8" t="s">
        <v>901</v>
      </c>
      <c r="C403" s="8" t="s">
        <v>902</v>
      </c>
      <c r="D403" s="8" t="s">
        <v>91</v>
      </c>
      <c r="E403" s="8" t="s">
        <v>92</v>
      </c>
      <c r="F403" s="8" t="s">
        <v>110</v>
      </c>
      <c r="G403" s="9">
        <v>48</v>
      </c>
      <c r="H403" s="9">
        <v>1</v>
      </c>
      <c r="I403" s="10">
        <v>0.20763</v>
      </c>
      <c r="J403" s="11">
        <v>0.18</v>
      </c>
      <c r="K403" s="12">
        <f t="shared" si="42"/>
        <v>0.0208333333333333</v>
      </c>
      <c r="L403" s="13">
        <f t="shared" si="43"/>
        <v>4.325625</v>
      </c>
      <c r="M403" s="13">
        <f t="shared" si="44"/>
        <v>0.20763</v>
      </c>
      <c r="N403" s="11">
        <v>0</v>
      </c>
      <c r="O403" s="11">
        <v>0</v>
      </c>
      <c r="P403" s="11">
        <v>0</v>
      </c>
      <c r="Q403" s="13">
        <f t="shared" si="45"/>
        <v>0</v>
      </c>
      <c r="R403" s="11">
        <v>0</v>
      </c>
      <c r="S403" s="13">
        <f t="shared" si="46"/>
        <v>0</v>
      </c>
      <c r="T403" s="9">
        <v>2</v>
      </c>
      <c r="U403" s="13">
        <f t="shared" si="47"/>
        <v>9.63251938544526</v>
      </c>
      <c r="V403" s="12">
        <f t="shared" si="48"/>
        <v>0.0416666666666667</v>
      </c>
      <c r="W403" s="17">
        <f>COUNTIFS(源数据[日期],源数据[[#This Row],[日期]],源数据[账号id],源数据[[#This Row],[账号id]])</f>
        <v>1</v>
      </c>
      <c r="X403" s="15">
        <f>IFERROR(源数据[[#This Row],[点击量]]/源数据[[#This Row],[展示量]],"")</f>
        <v>0.0208333333333333</v>
      </c>
      <c r="Y403" s="16">
        <f>IFERROR(源数据[[#This Row],[播放量]]/源数据[[#This Row],[展示量]],"")</f>
        <v>0.0416666666666667</v>
      </c>
      <c r="Z403" s="16">
        <f>IFERROR(源数据[[#This Row],[三连投放总消耗(毫分)]]/源数据[[#This Row],[播放量]],"")</f>
        <v>0.103815</v>
      </c>
      <c r="AA40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04" s="2" customFormat="1" spans="1:27">
      <c r="A404" s="7">
        <v>46204</v>
      </c>
      <c r="B404" s="8" t="s">
        <v>903</v>
      </c>
      <c r="C404" s="8" t="s">
        <v>904</v>
      </c>
      <c r="D404" s="8" t="s">
        <v>91</v>
      </c>
      <c r="E404" s="8" t="s">
        <v>92</v>
      </c>
      <c r="F404" s="8" t="s">
        <v>110</v>
      </c>
      <c r="G404" s="9">
        <v>53</v>
      </c>
      <c r="H404" s="9">
        <v>1</v>
      </c>
      <c r="I404" s="10">
        <v>0.20739</v>
      </c>
      <c r="J404" s="11">
        <v>0.18</v>
      </c>
      <c r="K404" s="12">
        <f t="shared" si="42"/>
        <v>0.0188679245283019</v>
      </c>
      <c r="L404" s="13">
        <f t="shared" si="43"/>
        <v>3.91301886792453</v>
      </c>
      <c r="M404" s="13">
        <f t="shared" si="44"/>
        <v>0.20739</v>
      </c>
      <c r="N404" s="11">
        <v>0</v>
      </c>
      <c r="O404" s="11">
        <v>0</v>
      </c>
      <c r="P404" s="11">
        <v>0</v>
      </c>
      <c r="Q404" s="13">
        <f t="shared" si="45"/>
        <v>0</v>
      </c>
      <c r="R404" s="11">
        <v>0</v>
      </c>
      <c r="S404" s="13">
        <f t="shared" si="46"/>
        <v>0</v>
      </c>
      <c r="T404" s="9">
        <v>4</v>
      </c>
      <c r="U404" s="13">
        <f t="shared" si="47"/>
        <v>19.2873330440233</v>
      </c>
      <c r="V404" s="12">
        <f t="shared" si="48"/>
        <v>0.0754716981132075</v>
      </c>
      <c r="W404" s="17">
        <f>COUNTIFS(源数据[日期],源数据[[#This Row],[日期]],源数据[账号id],源数据[[#This Row],[账号id]])</f>
        <v>1</v>
      </c>
      <c r="X404" s="15">
        <f>IFERROR(源数据[[#This Row],[点击量]]/源数据[[#This Row],[展示量]],"")</f>
        <v>0.0188679245283019</v>
      </c>
      <c r="Y404" s="16">
        <f>IFERROR(源数据[[#This Row],[播放量]]/源数据[[#This Row],[展示量]],"")</f>
        <v>0.0754716981132075</v>
      </c>
      <c r="Z404" s="16">
        <f>IFERROR(源数据[[#This Row],[三连投放总消耗(毫分)]]/源数据[[#This Row],[播放量]],"")</f>
        <v>0.0518475</v>
      </c>
      <c r="AA40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05" s="2" customFormat="1" spans="1:27">
      <c r="A405" s="7">
        <v>46204</v>
      </c>
      <c r="B405" s="8" t="s">
        <v>905</v>
      </c>
      <c r="C405" s="8" t="s">
        <v>906</v>
      </c>
      <c r="D405" s="8" t="s">
        <v>91</v>
      </c>
      <c r="E405" s="8" t="s">
        <v>92</v>
      </c>
      <c r="F405" s="8" t="s">
        <v>110</v>
      </c>
      <c r="G405" s="9">
        <v>62</v>
      </c>
      <c r="H405" s="9">
        <v>3</v>
      </c>
      <c r="I405" s="10">
        <v>0.20311</v>
      </c>
      <c r="J405" s="11">
        <v>0.18</v>
      </c>
      <c r="K405" s="12">
        <f t="shared" si="42"/>
        <v>0.0483870967741935</v>
      </c>
      <c r="L405" s="13">
        <f t="shared" si="43"/>
        <v>3.27596774193548</v>
      </c>
      <c r="M405" s="13">
        <f t="shared" si="44"/>
        <v>0.0677033333333333</v>
      </c>
      <c r="N405" s="11">
        <v>0</v>
      </c>
      <c r="O405" s="11">
        <v>0</v>
      </c>
      <c r="P405" s="11">
        <v>0.01</v>
      </c>
      <c r="Q405" s="13">
        <f t="shared" si="45"/>
        <v>0.0492344050022155</v>
      </c>
      <c r="R405" s="11">
        <v>0.01</v>
      </c>
      <c r="S405" s="13">
        <f t="shared" si="46"/>
        <v>0.0492344050022155</v>
      </c>
      <c r="T405" s="9">
        <v>4</v>
      </c>
      <c r="U405" s="13">
        <f t="shared" si="47"/>
        <v>19.6937620008862</v>
      </c>
      <c r="V405" s="12">
        <f t="shared" si="48"/>
        <v>0.0645161290322581</v>
      </c>
      <c r="W405" s="17">
        <f>COUNTIFS(源数据[日期],源数据[[#This Row],[日期]],源数据[账号id],源数据[[#This Row],[账号id]])</f>
        <v>1</v>
      </c>
      <c r="X405" s="15">
        <f>IFERROR(源数据[[#This Row],[点击量]]/源数据[[#This Row],[展示量]],"")</f>
        <v>0.0483870967741935</v>
      </c>
      <c r="Y405" s="16">
        <f>IFERROR(源数据[[#This Row],[播放量]]/源数据[[#This Row],[展示量]],"")</f>
        <v>0.0645161290322581</v>
      </c>
      <c r="Z405" s="16">
        <f>IFERROR(源数据[[#This Row],[三连投放总消耗(毫分)]]/源数据[[#This Row],[播放量]],"")</f>
        <v>0.0507775</v>
      </c>
      <c r="AA40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06" s="2" customFormat="1" spans="1:27">
      <c r="A406" s="7">
        <v>46204</v>
      </c>
      <c r="B406" s="8" t="s">
        <v>907</v>
      </c>
      <c r="C406" s="8" t="s">
        <v>908</v>
      </c>
      <c r="D406" s="8" t="s">
        <v>91</v>
      </c>
      <c r="E406" s="8" t="s">
        <v>92</v>
      </c>
      <c r="F406" s="8" t="s">
        <v>110</v>
      </c>
      <c r="G406" s="9">
        <v>45</v>
      </c>
      <c r="H406" s="9">
        <v>1</v>
      </c>
      <c r="I406" s="10">
        <v>0.20204</v>
      </c>
      <c r="J406" s="11">
        <v>0.18</v>
      </c>
      <c r="K406" s="12">
        <f t="shared" si="42"/>
        <v>0.0222222222222222</v>
      </c>
      <c r="L406" s="13">
        <f t="shared" si="43"/>
        <v>4.48977777777778</v>
      </c>
      <c r="M406" s="13">
        <f t="shared" si="44"/>
        <v>0.20204</v>
      </c>
      <c r="N406" s="11">
        <v>0</v>
      </c>
      <c r="O406" s="11">
        <v>0</v>
      </c>
      <c r="P406" s="11">
        <v>0</v>
      </c>
      <c r="Q406" s="13">
        <f t="shared" si="45"/>
        <v>0</v>
      </c>
      <c r="R406" s="11">
        <v>0</v>
      </c>
      <c r="S406" s="13">
        <f t="shared" si="46"/>
        <v>0</v>
      </c>
      <c r="T406" s="9">
        <v>1</v>
      </c>
      <c r="U406" s="13">
        <f t="shared" si="47"/>
        <v>4.94951494753514</v>
      </c>
      <c r="V406" s="12">
        <f t="shared" si="48"/>
        <v>0.0222222222222222</v>
      </c>
      <c r="W406" s="17">
        <f>COUNTIFS(源数据[日期],源数据[[#This Row],[日期]],源数据[账号id],源数据[[#This Row],[账号id]])</f>
        <v>1</v>
      </c>
      <c r="X406" s="15">
        <f>IFERROR(源数据[[#This Row],[点击量]]/源数据[[#This Row],[展示量]],"")</f>
        <v>0.0222222222222222</v>
      </c>
      <c r="Y406" s="16">
        <f>IFERROR(源数据[[#This Row],[播放量]]/源数据[[#This Row],[展示量]],"")</f>
        <v>0.0222222222222222</v>
      </c>
      <c r="Z406" s="16">
        <f>IFERROR(源数据[[#This Row],[三连投放总消耗(毫分)]]/源数据[[#This Row],[播放量]],"")</f>
        <v>0.20204</v>
      </c>
      <c r="AA40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07" s="2" customFormat="1" spans="1:27">
      <c r="A407" s="7">
        <v>46204</v>
      </c>
      <c r="B407" s="8" t="s">
        <v>909</v>
      </c>
      <c r="C407" s="8" t="s">
        <v>910</v>
      </c>
      <c r="D407" s="8" t="s">
        <v>91</v>
      </c>
      <c r="E407" s="8" t="s">
        <v>92</v>
      </c>
      <c r="F407" s="8" t="s">
        <v>110</v>
      </c>
      <c r="G407" s="9">
        <v>45</v>
      </c>
      <c r="H407" s="9">
        <v>2</v>
      </c>
      <c r="I407" s="10">
        <v>0.20094</v>
      </c>
      <c r="J407" s="11">
        <v>0.18</v>
      </c>
      <c r="K407" s="12">
        <f t="shared" si="42"/>
        <v>0.0444444444444444</v>
      </c>
      <c r="L407" s="13">
        <f t="shared" si="43"/>
        <v>4.46533333333333</v>
      </c>
      <c r="M407" s="13">
        <f t="shared" si="44"/>
        <v>0.10047</v>
      </c>
      <c r="N407" s="11">
        <v>0</v>
      </c>
      <c r="O407" s="11">
        <v>0</v>
      </c>
      <c r="P407" s="11">
        <v>0</v>
      </c>
      <c r="Q407" s="13">
        <f t="shared" si="45"/>
        <v>0</v>
      </c>
      <c r="R407" s="11">
        <v>0</v>
      </c>
      <c r="S407" s="13">
        <f t="shared" si="46"/>
        <v>0</v>
      </c>
      <c r="T407" s="9">
        <v>2</v>
      </c>
      <c r="U407" s="13">
        <f t="shared" si="47"/>
        <v>9.95321986662685</v>
      </c>
      <c r="V407" s="12">
        <f t="shared" si="48"/>
        <v>0.0444444444444444</v>
      </c>
      <c r="W407" s="17">
        <f>COUNTIFS(源数据[日期],源数据[[#This Row],[日期]],源数据[账号id],源数据[[#This Row],[账号id]])</f>
        <v>1</v>
      </c>
      <c r="X407" s="15">
        <f>IFERROR(源数据[[#This Row],[点击量]]/源数据[[#This Row],[展示量]],"")</f>
        <v>0.0444444444444444</v>
      </c>
      <c r="Y407" s="16">
        <f>IFERROR(源数据[[#This Row],[播放量]]/源数据[[#This Row],[展示量]],"")</f>
        <v>0.0444444444444444</v>
      </c>
      <c r="Z407" s="16">
        <f>IFERROR(源数据[[#This Row],[三连投放总消耗(毫分)]]/源数据[[#This Row],[播放量]],"")</f>
        <v>0.10047</v>
      </c>
      <c r="AA40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08" s="2" customFormat="1" spans="1:27">
      <c r="A408" s="7">
        <v>46204</v>
      </c>
      <c r="B408" s="8" t="s">
        <v>911</v>
      </c>
      <c r="C408" s="8" t="s">
        <v>912</v>
      </c>
      <c r="D408" s="8" t="s">
        <v>91</v>
      </c>
      <c r="E408" s="8" t="s">
        <v>92</v>
      </c>
      <c r="F408" s="8" t="s">
        <v>748</v>
      </c>
      <c r="G408" s="9">
        <v>187</v>
      </c>
      <c r="H408" s="9">
        <v>1</v>
      </c>
      <c r="I408" s="10">
        <v>0.19981</v>
      </c>
      <c r="J408" s="11">
        <v>0.18</v>
      </c>
      <c r="K408" s="12">
        <f t="shared" si="42"/>
        <v>0.0053475935828877</v>
      </c>
      <c r="L408" s="13">
        <f t="shared" si="43"/>
        <v>1.06850267379679</v>
      </c>
      <c r="M408" s="13">
        <f t="shared" si="44"/>
        <v>0.19981</v>
      </c>
      <c r="N408" s="11">
        <v>0</v>
      </c>
      <c r="O408" s="11">
        <v>0</v>
      </c>
      <c r="P408" s="11">
        <v>0</v>
      </c>
      <c r="Q408" s="13">
        <f t="shared" si="45"/>
        <v>0</v>
      </c>
      <c r="R408" s="11">
        <v>0</v>
      </c>
      <c r="S408" s="13">
        <f t="shared" si="46"/>
        <v>0</v>
      </c>
      <c r="T408" s="9">
        <v>1</v>
      </c>
      <c r="U408" s="13">
        <f t="shared" si="47"/>
        <v>5.00475451679095</v>
      </c>
      <c r="V408" s="12">
        <f t="shared" si="48"/>
        <v>0.0053475935828877</v>
      </c>
      <c r="W408" s="17">
        <f>COUNTIFS(源数据[日期],源数据[[#This Row],[日期]],源数据[账号id],源数据[[#This Row],[账号id]])</f>
        <v>1</v>
      </c>
      <c r="X408" s="15">
        <f>IFERROR(源数据[[#This Row],[点击量]]/源数据[[#This Row],[展示量]],"")</f>
        <v>0.0053475935828877</v>
      </c>
      <c r="Y408" s="16">
        <f>IFERROR(源数据[[#This Row],[播放量]]/源数据[[#This Row],[展示量]],"")</f>
        <v>0.0053475935828877</v>
      </c>
      <c r="Z408" s="16">
        <f>IFERROR(源数据[[#This Row],[三连投放总消耗(毫分)]]/源数据[[#This Row],[播放量]],"")</f>
        <v>0.19981</v>
      </c>
      <c r="AA40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09" s="2" customFormat="1" spans="1:27">
      <c r="A409" s="7">
        <v>46204</v>
      </c>
      <c r="B409" s="8" t="s">
        <v>913</v>
      </c>
      <c r="C409" s="8" t="s">
        <v>914</v>
      </c>
      <c r="D409" s="8" t="s">
        <v>91</v>
      </c>
      <c r="E409" s="8" t="s">
        <v>92</v>
      </c>
      <c r="F409" s="8" t="s">
        <v>110</v>
      </c>
      <c r="G409" s="9">
        <v>40</v>
      </c>
      <c r="H409" s="9">
        <v>0</v>
      </c>
      <c r="I409" s="10">
        <v>0.19915</v>
      </c>
      <c r="J409" s="11">
        <v>0.18</v>
      </c>
      <c r="K409" s="12">
        <f t="shared" si="42"/>
        <v>0</v>
      </c>
      <c r="L409" s="13">
        <f t="shared" si="43"/>
        <v>4.97875</v>
      </c>
      <c r="M409" s="13">
        <f t="shared" si="44"/>
        <v>0</v>
      </c>
      <c r="N409" s="11">
        <v>0</v>
      </c>
      <c r="O409" s="11">
        <v>0</v>
      </c>
      <c r="P409" s="11">
        <v>0</v>
      </c>
      <c r="Q409" s="13">
        <f t="shared" si="45"/>
        <v>0</v>
      </c>
      <c r="R409" s="11">
        <v>0</v>
      </c>
      <c r="S409" s="13">
        <f t="shared" si="46"/>
        <v>0</v>
      </c>
      <c r="T409" s="9">
        <v>0</v>
      </c>
      <c r="U409" s="13">
        <f t="shared" si="47"/>
        <v>0</v>
      </c>
      <c r="V409" s="12">
        <f t="shared" si="48"/>
        <v>0</v>
      </c>
      <c r="W409" s="17">
        <f>COUNTIFS(源数据[日期],源数据[[#This Row],[日期]],源数据[账号id],源数据[[#This Row],[账号id]])</f>
        <v>1</v>
      </c>
      <c r="X409" s="15">
        <f>IFERROR(源数据[[#This Row],[点击量]]/源数据[[#This Row],[展示量]],"")</f>
        <v>0</v>
      </c>
      <c r="Y409" s="16">
        <f>IFERROR(源数据[[#This Row],[播放量]]/源数据[[#This Row],[展示量]],"")</f>
        <v>0</v>
      </c>
      <c r="Z409" s="16" t="str">
        <f>IFERROR(源数据[[#This Row],[三连投放总消耗(毫分)]]/源数据[[#This Row],[播放量]],"")</f>
        <v/>
      </c>
      <c r="AA40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10" s="2" customFormat="1" spans="1:27">
      <c r="A410" s="7">
        <v>46204</v>
      </c>
      <c r="B410" s="8" t="s">
        <v>915</v>
      </c>
      <c r="C410" s="8" t="s">
        <v>916</v>
      </c>
      <c r="D410" s="8" t="s">
        <v>91</v>
      </c>
      <c r="E410" s="8" t="s">
        <v>92</v>
      </c>
      <c r="F410" s="8" t="s">
        <v>110</v>
      </c>
      <c r="G410" s="9">
        <v>43</v>
      </c>
      <c r="H410" s="9">
        <v>3</v>
      </c>
      <c r="I410" s="10">
        <v>0.19847</v>
      </c>
      <c r="J410" s="11">
        <v>0.16</v>
      </c>
      <c r="K410" s="12">
        <f t="shared" si="42"/>
        <v>0.0697674418604651</v>
      </c>
      <c r="L410" s="13">
        <f t="shared" si="43"/>
        <v>4.61558139534884</v>
      </c>
      <c r="M410" s="13">
        <f t="shared" si="44"/>
        <v>0.0661566666666667</v>
      </c>
      <c r="N410" s="11">
        <v>0</v>
      </c>
      <c r="O410" s="11">
        <v>0</v>
      </c>
      <c r="P410" s="11">
        <v>0</v>
      </c>
      <c r="Q410" s="13">
        <f t="shared" si="45"/>
        <v>0</v>
      </c>
      <c r="R410" s="11">
        <v>0</v>
      </c>
      <c r="S410" s="13">
        <f t="shared" si="46"/>
        <v>0</v>
      </c>
      <c r="T410" s="9">
        <v>3</v>
      </c>
      <c r="U410" s="13">
        <f t="shared" si="47"/>
        <v>15.1156346047262</v>
      </c>
      <c r="V410" s="12">
        <f t="shared" si="48"/>
        <v>0.0697674418604651</v>
      </c>
      <c r="W410" s="17">
        <f>COUNTIFS(源数据[日期],源数据[[#This Row],[日期]],源数据[账号id],源数据[[#This Row],[账号id]])</f>
        <v>1</v>
      </c>
      <c r="X410" s="15">
        <f>IFERROR(源数据[[#This Row],[点击量]]/源数据[[#This Row],[展示量]],"")</f>
        <v>0.0697674418604651</v>
      </c>
      <c r="Y410" s="16">
        <f>IFERROR(源数据[[#This Row],[播放量]]/源数据[[#This Row],[展示量]],"")</f>
        <v>0.0697674418604651</v>
      </c>
      <c r="Z410" s="16">
        <f>IFERROR(源数据[[#This Row],[三连投放总消耗(毫分)]]/源数据[[#This Row],[播放量]],"")</f>
        <v>0.0661566666666667</v>
      </c>
      <c r="AA41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11" s="2" customFormat="1" spans="1:27">
      <c r="A411" s="7">
        <v>46204</v>
      </c>
      <c r="B411" s="8" t="s">
        <v>917</v>
      </c>
      <c r="C411" s="8" t="s">
        <v>918</v>
      </c>
      <c r="D411" s="8" t="s">
        <v>91</v>
      </c>
      <c r="E411" s="8" t="s">
        <v>92</v>
      </c>
      <c r="F411" s="8" t="s">
        <v>110</v>
      </c>
      <c r="G411" s="9">
        <v>52</v>
      </c>
      <c r="H411" s="9">
        <v>2</v>
      </c>
      <c r="I411" s="10">
        <v>0.1965</v>
      </c>
      <c r="J411" s="11">
        <v>0.18</v>
      </c>
      <c r="K411" s="12">
        <f t="shared" si="42"/>
        <v>0.0384615384615385</v>
      </c>
      <c r="L411" s="13">
        <f t="shared" si="43"/>
        <v>3.77884615384615</v>
      </c>
      <c r="M411" s="13">
        <f t="shared" si="44"/>
        <v>0.09825</v>
      </c>
      <c r="N411" s="11">
        <v>0</v>
      </c>
      <c r="O411" s="11">
        <v>0</v>
      </c>
      <c r="P411" s="11">
        <v>0</v>
      </c>
      <c r="Q411" s="13">
        <f t="shared" si="45"/>
        <v>0</v>
      </c>
      <c r="R411" s="11">
        <v>0</v>
      </c>
      <c r="S411" s="13">
        <f t="shared" si="46"/>
        <v>0</v>
      </c>
      <c r="T411" s="9">
        <v>2</v>
      </c>
      <c r="U411" s="13">
        <f t="shared" si="47"/>
        <v>10.1781170483461</v>
      </c>
      <c r="V411" s="12">
        <f t="shared" si="48"/>
        <v>0.0384615384615385</v>
      </c>
      <c r="W411" s="17">
        <f>COUNTIFS(源数据[日期],源数据[[#This Row],[日期]],源数据[账号id],源数据[[#This Row],[账号id]])</f>
        <v>1</v>
      </c>
      <c r="X411" s="15">
        <f>IFERROR(源数据[[#This Row],[点击量]]/源数据[[#This Row],[展示量]],"")</f>
        <v>0.0384615384615385</v>
      </c>
      <c r="Y411" s="16">
        <f>IFERROR(源数据[[#This Row],[播放量]]/源数据[[#This Row],[展示量]],"")</f>
        <v>0.0384615384615385</v>
      </c>
      <c r="Z411" s="16">
        <f>IFERROR(源数据[[#This Row],[三连投放总消耗(毫分)]]/源数据[[#This Row],[播放量]],"")</f>
        <v>0.09825</v>
      </c>
      <c r="AA41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12" s="2" customFormat="1" spans="1:27">
      <c r="A412" s="7">
        <v>46204</v>
      </c>
      <c r="B412" s="8" t="s">
        <v>919</v>
      </c>
      <c r="C412" s="8" t="s">
        <v>920</v>
      </c>
      <c r="D412" s="8" t="s">
        <v>91</v>
      </c>
      <c r="E412" s="8" t="s">
        <v>92</v>
      </c>
      <c r="F412" s="8" t="s">
        <v>110</v>
      </c>
      <c r="G412" s="9">
        <v>47</v>
      </c>
      <c r="H412" s="9">
        <v>3</v>
      </c>
      <c r="I412" s="10">
        <v>0.19629</v>
      </c>
      <c r="J412" s="11">
        <v>0.18</v>
      </c>
      <c r="K412" s="12">
        <f t="shared" si="42"/>
        <v>0.0638297872340425</v>
      </c>
      <c r="L412" s="13">
        <f t="shared" si="43"/>
        <v>4.1763829787234</v>
      </c>
      <c r="M412" s="13">
        <f t="shared" si="44"/>
        <v>0.06543</v>
      </c>
      <c r="N412" s="11">
        <v>0</v>
      </c>
      <c r="O412" s="11">
        <v>0</v>
      </c>
      <c r="P412" s="11">
        <v>0</v>
      </c>
      <c r="Q412" s="13">
        <f t="shared" si="45"/>
        <v>0</v>
      </c>
      <c r="R412" s="11">
        <v>0</v>
      </c>
      <c r="S412" s="13">
        <f t="shared" si="46"/>
        <v>0</v>
      </c>
      <c r="T412" s="9">
        <v>2</v>
      </c>
      <c r="U412" s="13">
        <f t="shared" si="47"/>
        <v>10.1890060624586</v>
      </c>
      <c r="V412" s="12">
        <f t="shared" si="48"/>
        <v>0.0425531914893617</v>
      </c>
      <c r="W412" s="17">
        <f>COUNTIFS(源数据[日期],源数据[[#This Row],[日期]],源数据[账号id],源数据[[#This Row],[账号id]])</f>
        <v>1</v>
      </c>
      <c r="X412" s="15">
        <f>IFERROR(源数据[[#This Row],[点击量]]/源数据[[#This Row],[展示量]],"")</f>
        <v>0.0638297872340425</v>
      </c>
      <c r="Y412" s="16">
        <f>IFERROR(源数据[[#This Row],[播放量]]/源数据[[#This Row],[展示量]],"")</f>
        <v>0.0425531914893617</v>
      </c>
      <c r="Z412" s="16">
        <f>IFERROR(源数据[[#This Row],[三连投放总消耗(毫分)]]/源数据[[#This Row],[播放量]],"")</f>
        <v>0.098145</v>
      </c>
      <c r="AA41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13" s="2" customFormat="1" spans="1:27">
      <c r="A413" s="7">
        <v>46204</v>
      </c>
      <c r="B413" s="8" t="s">
        <v>921</v>
      </c>
      <c r="C413" s="8" t="s">
        <v>922</v>
      </c>
      <c r="D413" s="8" t="s">
        <v>91</v>
      </c>
      <c r="E413" s="8" t="s">
        <v>92</v>
      </c>
      <c r="F413" s="8" t="s">
        <v>110</v>
      </c>
      <c r="G413" s="9">
        <v>33</v>
      </c>
      <c r="H413" s="9">
        <v>1</v>
      </c>
      <c r="I413" s="10">
        <v>0.19425</v>
      </c>
      <c r="J413" s="11">
        <v>0.16</v>
      </c>
      <c r="K413" s="12">
        <f t="shared" si="42"/>
        <v>0.0303030303030303</v>
      </c>
      <c r="L413" s="13">
        <f t="shared" si="43"/>
        <v>5.88636363636364</v>
      </c>
      <c r="M413" s="13">
        <f t="shared" si="44"/>
        <v>0.19425</v>
      </c>
      <c r="N413" s="11">
        <v>0</v>
      </c>
      <c r="O413" s="11">
        <v>0</v>
      </c>
      <c r="P413" s="11">
        <v>0.03</v>
      </c>
      <c r="Q413" s="13">
        <f t="shared" si="45"/>
        <v>0.154440154440154</v>
      </c>
      <c r="R413" s="11">
        <v>0.03</v>
      </c>
      <c r="S413" s="13">
        <f t="shared" si="46"/>
        <v>0.154440154440154</v>
      </c>
      <c r="T413" s="9">
        <v>1</v>
      </c>
      <c r="U413" s="13">
        <f t="shared" si="47"/>
        <v>5.14800514800515</v>
      </c>
      <c r="V413" s="12">
        <f t="shared" si="48"/>
        <v>0.0303030303030303</v>
      </c>
      <c r="W413" s="17">
        <f>COUNTIFS(源数据[日期],源数据[[#This Row],[日期]],源数据[账号id],源数据[[#This Row],[账号id]])</f>
        <v>1</v>
      </c>
      <c r="X413" s="15">
        <f>IFERROR(源数据[[#This Row],[点击量]]/源数据[[#This Row],[展示量]],"")</f>
        <v>0.0303030303030303</v>
      </c>
      <c r="Y413" s="16">
        <f>IFERROR(源数据[[#This Row],[播放量]]/源数据[[#This Row],[展示量]],"")</f>
        <v>0.0303030303030303</v>
      </c>
      <c r="Z413" s="16">
        <f>IFERROR(源数据[[#This Row],[三连投放总消耗(毫分)]]/源数据[[#This Row],[播放量]],"")</f>
        <v>0.19425</v>
      </c>
      <c r="AA41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14" s="2" customFormat="1" spans="1:27">
      <c r="A414" s="7">
        <v>46204</v>
      </c>
      <c r="B414" s="8" t="s">
        <v>923</v>
      </c>
      <c r="C414" s="8" t="s">
        <v>924</v>
      </c>
      <c r="D414" s="8" t="s">
        <v>91</v>
      </c>
      <c r="E414" s="8" t="s">
        <v>92</v>
      </c>
      <c r="F414" s="8" t="s">
        <v>110</v>
      </c>
      <c r="G414" s="9">
        <v>37</v>
      </c>
      <c r="H414" s="9">
        <v>1</v>
      </c>
      <c r="I414" s="10">
        <v>0.1933</v>
      </c>
      <c r="J414" s="11">
        <v>0.15</v>
      </c>
      <c r="K414" s="12">
        <f t="shared" si="42"/>
        <v>0.027027027027027</v>
      </c>
      <c r="L414" s="13">
        <f t="shared" si="43"/>
        <v>5.22432432432432</v>
      </c>
      <c r="M414" s="13">
        <f t="shared" si="44"/>
        <v>0.1933</v>
      </c>
      <c r="N414" s="11">
        <v>0</v>
      </c>
      <c r="O414" s="11">
        <v>0</v>
      </c>
      <c r="P414" s="11">
        <v>0.01</v>
      </c>
      <c r="Q414" s="13">
        <f t="shared" si="45"/>
        <v>0.0517330574236937</v>
      </c>
      <c r="R414" s="11">
        <v>0.01</v>
      </c>
      <c r="S414" s="13">
        <f t="shared" si="46"/>
        <v>0.0517330574236937</v>
      </c>
      <c r="T414" s="9">
        <v>1</v>
      </c>
      <c r="U414" s="13">
        <f t="shared" si="47"/>
        <v>5.17330574236937</v>
      </c>
      <c r="V414" s="12">
        <f t="shared" si="48"/>
        <v>0.027027027027027</v>
      </c>
      <c r="W414" s="17">
        <f>COUNTIFS(源数据[日期],源数据[[#This Row],[日期]],源数据[账号id],源数据[[#This Row],[账号id]])</f>
        <v>1</v>
      </c>
      <c r="X414" s="15">
        <f>IFERROR(源数据[[#This Row],[点击量]]/源数据[[#This Row],[展示量]],"")</f>
        <v>0.027027027027027</v>
      </c>
      <c r="Y414" s="16">
        <f>IFERROR(源数据[[#This Row],[播放量]]/源数据[[#This Row],[展示量]],"")</f>
        <v>0.027027027027027</v>
      </c>
      <c r="Z414" s="16">
        <f>IFERROR(源数据[[#This Row],[三连投放总消耗(毫分)]]/源数据[[#This Row],[播放量]],"")</f>
        <v>0.1933</v>
      </c>
      <c r="AA41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15" s="2" customFormat="1" spans="1:27">
      <c r="A415" s="7">
        <v>46204</v>
      </c>
      <c r="B415" s="8" t="s">
        <v>925</v>
      </c>
      <c r="C415" s="8" t="s">
        <v>926</v>
      </c>
      <c r="D415" s="8" t="s">
        <v>91</v>
      </c>
      <c r="E415" s="8" t="s">
        <v>92</v>
      </c>
      <c r="F415" s="8" t="s">
        <v>110</v>
      </c>
      <c r="G415" s="9">
        <v>40</v>
      </c>
      <c r="H415" s="9">
        <v>1</v>
      </c>
      <c r="I415" s="10">
        <v>0.18775</v>
      </c>
      <c r="J415" s="11">
        <v>0.16</v>
      </c>
      <c r="K415" s="12">
        <f t="shared" si="42"/>
        <v>0.025</v>
      </c>
      <c r="L415" s="13">
        <f t="shared" si="43"/>
        <v>4.69375</v>
      </c>
      <c r="M415" s="13">
        <f t="shared" si="44"/>
        <v>0.18775</v>
      </c>
      <c r="N415" s="11">
        <v>0</v>
      </c>
      <c r="O415" s="11">
        <v>0</v>
      </c>
      <c r="P415" s="11">
        <v>0</v>
      </c>
      <c r="Q415" s="13">
        <f t="shared" si="45"/>
        <v>0</v>
      </c>
      <c r="R415" s="11">
        <v>0</v>
      </c>
      <c r="S415" s="13">
        <f t="shared" si="46"/>
        <v>0</v>
      </c>
      <c r="T415" s="9">
        <v>1</v>
      </c>
      <c r="U415" s="13">
        <f t="shared" si="47"/>
        <v>5.32623169107856</v>
      </c>
      <c r="V415" s="12">
        <f t="shared" si="48"/>
        <v>0.025</v>
      </c>
      <c r="W415" s="17">
        <f>COUNTIFS(源数据[日期],源数据[[#This Row],[日期]],源数据[账号id],源数据[[#This Row],[账号id]])</f>
        <v>1</v>
      </c>
      <c r="X415" s="15">
        <f>IFERROR(源数据[[#This Row],[点击量]]/源数据[[#This Row],[展示量]],"")</f>
        <v>0.025</v>
      </c>
      <c r="Y415" s="16">
        <f>IFERROR(源数据[[#This Row],[播放量]]/源数据[[#This Row],[展示量]],"")</f>
        <v>0.025</v>
      </c>
      <c r="Z415" s="16">
        <f>IFERROR(源数据[[#This Row],[三连投放总消耗(毫分)]]/源数据[[#This Row],[播放量]],"")</f>
        <v>0.18775</v>
      </c>
      <c r="AA41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16" s="2" customFormat="1" spans="1:27">
      <c r="A416" s="7">
        <v>46204</v>
      </c>
      <c r="B416" s="8" t="s">
        <v>927</v>
      </c>
      <c r="C416" s="8" t="s">
        <v>928</v>
      </c>
      <c r="D416" s="8" t="s">
        <v>91</v>
      </c>
      <c r="E416" s="8" t="s">
        <v>92</v>
      </c>
      <c r="F416" s="8" t="s">
        <v>110</v>
      </c>
      <c r="G416" s="9">
        <v>29</v>
      </c>
      <c r="H416" s="9">
        <v>1</v>
      </c>
      <c r="I416" s="10">
        <v>0.18442</v>
      </c>
      <c r="J416" s="11">
        <v>0.16</v>
      </c>
      <c r="K416" s="12">
        <f t="shared" si="42"/>
        <v>0.0344827586206897</v>
      </c>
      <c r="L416" s="13">
        <f t="shared" si="43"/>
        <v>6.35931034482759</v>
      </c>
      <c r="M416" s="13">
        <f t="shared" si="44"/>
        <v>0.18442</v>
      </c>
      <c r="N416" s="11">
        <v>0</v>
      </c>
      <c r="O416" s="11">
        <v>0</v>
      </c>
      <c r="P416" s="11">
        <v>0</v>
      </c>
      <c r="Q416" s="13">
        <f t="shared" si="45"/>
        <v>0</v>
      </c>
      <c r="R416" s="11">
        <v>0</v>
      </c>
      <c r="S416" s="13">
        <f t="shared" si="46"/>
        <v>0</v>
      </c>
      <c r="T416" s="9">
        <v>1</v>
      </c>
      <c r="U416" s="13">
        <f t="shared" si="47"/>
        <v>5.42240537902614</v>
      </c>
      <c r="V416" s="12">
        <f t="shared" si="48"/>
        <v>0.0344827586206897</v>
      </c>
      <c r="W416" s="17">
        <f>COUNTIFS(源数据[日期],源数据[[#This Row],[日期]],源数据[账号id],源数据[[#This Row],[账号id]])</f>
        <v>1</v>
      </c>
      <c r="X416" s="15">
        <f>IFERROR(源数据[[#This Row],[点击量]]/源数据[[#This Row],[展示量]],"")</f>
        <v>0.0344827586206897</v>
      </c>
      <c r="Y416" s="16">
        <f>IFERROR(源数据[[#This Row],[播放量]]/源数据[[#This Row],[展示量]],"")</f>
        <v>0.0344827586206897</v>
      </c>
      <c r="Z416" s="16">
        <f>IFERROR(源数据[[#This Row],[三连投放总消耗(毫分)]]/源数据[[#This Row],[播放量]],"")</f>
        <v>0.18442</v>
      </c>
      <c r="AA41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17" s="2" customFormat="1" spans="1:27">
      <c r="A417" s="7">
        <v>46204</v>
      </c>
      <c r="B417" s="8" t="s">
        <v>929</v>
      </c>
      <c r="C417" s="8" t="s">
        <v>930</v>
      </c>
      <c r="D417" s="8" t="s">
        <v>91</v>
      </c>
      <c r="E417" s="8" t="s">
        <v>92</v>
      </c>
      <c r="F417" s="8" t="s">
        <v>748</v>
      </c>
      <c r="G417" s="9">
        <v>176</v>
      </c>
      <c r="H417" s="9">
        <v>3</v>
      </c>
      <c r="I417" s="10">
        <v>0.18275</v>
      </c>
      <c r="J417" s="11">
        <v>0.16</v>
      </c>
      <c r="K417" s="12">
        <f t="shared" si="42"/>
        <v>0.0170454545454545</v>
      </c>
      <c r="L417" s="13">
        <f t="shared" si="43"/>
        <v>1.03835227272727</v>
      </c>
      <c r="M417" s="13">
        <f t="shared" si="44"/>
        <v>0.0609166666666667</v>
      </c>
      <c r="N417" s="11">
        <v>0</v>
      </c>
      <c r="O417" s="11">
        <v>0</v>
      </c>
      <c r="P417" s="11">
        <v>0</v>
      </c>
      <c r="Q417" s="13">
        <f t="shared" si="45"/>
        <v>0</v>
      </c>
      <c r="R417" s="11">
        <v>0</v>
      </c>
      <c r="S417" s="13">
        <f t="shared" si="46"/>
        <v>0</v>
      </c>
      <c r="T417" s="9">
        <v>1</v>
      </c>
      <c r="U417" s="13">
        <f t="shared" si="47"/>
        <v>5.47195622435021</v>
      </c>
      <c r="V417" s="12">
        <f t="shared" si="48"/>
        <v>0.00568181818181818</v>
      </c>
      <c r="W417" s="17">
        <f>COUNTIFS(源数据[日期],源数据[[#This Row],[日期]],源数据[账号id],源数据[[#This Row],[账号id]])</f>
        <v>1</v>
      </c>
      <c r="X417" s="15">
        <f>IFERROR(源数据[[#This Row],[点击量]]/源数据[[#This Row],[展示量]],"")</f>
        <v>0.0170454545454545</v>
      </c>
      <c r="Y417" s="16">
        <f>IFERROR(源数据[[#This Row],[播放量]]/源数据[[#This Row],[展示量]],"")</f>
        <v>0.00568181818181818</v>
      </c>
      <c r="Z417" s="16">
        <f>IFERROR(源数据[[#This Row],[三连投放总消耗(毫分)]]/源数据[[#This Row],[播放量]],"")</f>
        <v>0.18275</v>
      </c>
      <c r="AA41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18" s="2" customFormat="1" spans="1:27">
      <c r="A418" s="7">
        <v>46204</v>
      </c>
      <c r="B418" s="8" t="s">
        <v>931</v>
      </c>
      <c r="C418" s="8" t="s">
        <v>932</v>
      </c>
      <c r="D418" s="8" t="s">
        <v>91</v>
      </c>
      <c r="E418" s="8" t="s">
        <v>92</v>
      </c>
      <c r="F418" s="8" t="s">
        <v>110</v>
      </c>
      <c r="G418" s="9">
        <v>38</v>
      </c>
      <c r="H418" s="9">
        <v>1</v>
      </c>
      <c r="I418" s="10">
        <v>0.17444</v>
      </c>
      <c r="J418" s="11">
        <v>0.15</v>
      </c>
      <c r="K418" s="12">
        <f t="shared" si="42"/>
        <v>0.0263157894736842</v>
      </c>
      <c r="L418" s="13">
        <f t="shared" si="43"/>
        <v>4.59052631578947</v>
      </c>
      <c r="M418" s="13">
        <f t="shared" si="44"/>
        <v>0.17444</v>
      </c>
      <c r="N418" s="11">
        <v>0</v>
      </c>
      <c r="O418" s="11">
        <v>0</v>
      </c>
      <c r="P418" s="11">
        <v>0</v>
      </c>
      <c r="Q418" s="13">
        <f t="shared" si="45"/>
        <v>0</v>
      </c>
      <c r="R418" s="11">
        <v>0</v>
      </c>
      <c r="S418" s="13">
        <f t="shared" si="46"/>
        <v>0</v>
      </c>
      <c r="T418" s="9">
        <v>2</v>
      </c>
      <c r="U418" s="13">
        <f t="shared" si="47"/>
        <v>11.4652602614079</v>
      </c>
      <c r="V418" s="12">
        <f t="shared" si="48"/>
        <v>0.0526315789473684</v>
      </c>
      <c r="W418" s="17">
        <f>COUNTIFS(源数据[日期],源数据[[#This Row],[日期]],源数据[账号id],源数据[[#This Row],[账号id]])</f>
        <v>1</v>
      </c>
      <c r="X418" s="15">
        <f>IFERROR(源数据[[#This Row],[点击量]]/源数据[[#This Row],[展示量]],"")</f>
        <v>0.0263157894736842</v>
      </c>
      <c r="Y418" s="16">
        <f>IFERROR(源数据[[#This Row],[播放量]]/源数据[[#This Row],[展示量]],"")</f>
        <v>0.0526315789473684</v>
      </c>
      <c r="Z418" s="16">
        <f>IFERROR(源数据[[#This Row],[三连投放总消耗(毫分)]]/源数据[[#This Row],[播放量]],"")</f>
        <v>0.08722</v>
      </c>
      <c r="AA41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19" s="2" customFormat="1" spans="1:27">
      <c r="A419" s="7">
        <v>46204</v>
      </c>
      <c r="B419" s="8" t="s">
        <v>933</v>
      </c>
      <c r="C419" s="8" t="s">
        <v>934</v>
      </c>
      <c r="D419" s="8" t="s">
        <v>91</v>
      </c>
      <c r="E419" s="8" t="s">
        <v>92</v>
      </c>
      <c r="F419" s="8" t="s">
        <v>110</v>
      </c>
      <c r="G419" s="9">
        <v>29</v>
      </c>
      <c r="H419" s="9">
        <v>1</v>
      </c>
      <c r="I419" s="10">
        <v>0.17307</v>
      </c>
      <c r="J419" s="11">
        <v>0.14</v>
      </c>
      <c r="K419" s="12">
        <f t="shared" si="42"/>
        <v>0.0344827586206897</v>
      </c>
      <c r="L419" s="13">
        <f t="shared" si="43"/>
        <v>5.96793103448276</v>
      </c>
      <c r="M419" s="13">
        <f t="shared" si="44"/>
        <v>0.17307</v>
      </c>
      <c r="N419" s="11">
        <v>0</v>
      </c>
      <c r="O419" s="11">
        <v>0</v>
      </c>
      <c r="P419" s="11">
        <v>0</v>
      </c>
      <c r="Q419" s="13">
        <f t="shared" si="45"/>
        <v>0</v>
      </c>
      <c r="R419" s="11">
        <v>0</v>
      </c>
      <c r="S419" s="13">
        <f t="shared" si="46"/>
        <v>0</v>
      </c>
      <c r="T419" s="9">
        <v>1</v>
      </c>
      <c r="U419" s="13">
        <f t="shared" si="47"/>
        <v>5.7780088981337</v>
      </c>
      <c r="V419" s="12">
        <f t="shared" si="48"/>
        <v>0.0344827586206897</v>
      </c>
      <c r="W419" s="17">
        <f>COUNTIFS(源数据[日期],源数据[[#This Row],[日期]],源数据[账号id],源数据[[#This Row],[账号id]])</f>
        <v>1</v>
      </c>
      <c r="X419" s="15">
        <f>IFERROR(源数据[[#This Row],[点击量]]/源数据[[#This Row],[展示量]],"")</f>
        <v>0.0344827586206897</v>
      </c>
      <c r="Y419" s="16">
        <f>IFERROR(源数据[[#This Row],[播放量]]/源数据[[#This Row],[展示量]],"")</f>
        <v>0.0344827586206897</v>
      </c>
      <c r="Z419" s="16">
        <f>IFERROR(源数据[[#This Row],[三连投放总消耗(毫分)]]/源数据[[#This Row],[播放量]],"")</f>
        <v>0.17307</v>
      </c>
      <c r="AA41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20" s="2" customFormat="1" spans="1:27">
      <c r="A420" s="7">
        <v>46204</v>
      </c>
      <c r="B420" s="8" t="s">
        <v>935</v>
      </c>
      <c r="C420" s="8" t="s">
        <v>936</v>
      </c>
      <c r="D420" s="8" t="s">
        <v>91</v>
      </c>
      <c r="E420" s="8" t="s">
        <v>92</v>
      </c>
      <c r="F420" s="8" t="s">
        <v>110</v>
      </c>
      <c r="G420" s="9">
        <v>38</v>
      </c>
      <c r="H420" s="9">
        <v>0</v>
      </c>
      <c r="I420" s="10">
        <v>0.17255</v>
      </c>
      <c r="J420" s="11">
        <v>0.15</v>
      </c>
      <c r="K420" s="12">
        <f t="shared" si="42"/>
        <v>0</v>
      </c>
      <c r="L420" s="13">
        <f t="shared" si="43"/>
        <v>4.54078947368421</v>
      </c>
      <c r="M420" s="13">
        <f t="shared" si="44"/>
        <v>0</v>
      </c>
      <c r="N420" s="11">
        <v>0</v>
      </c>
      <c r="O420" s="11">
        <v>0</v>
      </c>
      <c r="P420" s="11">
        <v>0</v>
      </c>
      <c r="Q420" s="13">
        <f t="shared" si="45"/>
        <v>0</v>
      </c>
      <c r="R420" s="11">
        <v>0</v>
      </c>
      <c r="S420" s="13">
        <f t="shared" si="46"/>
        <v>0</v>
      </c>
      <c r="T420" s="9">
        <v>0</v>
      </c>
      <c r="U420" s="13">
        <f t="shared" si="47"/>
        <v>0</v>
      </c>
      <c r="V420" s="12">
        <f t="shared" si="48"/>
        <v>0</v>
      </c>
      <c r="W420" s="17">
        <f>COUNTIFS(源数据[日期],源数据[[#This Row],[日期]],源数据[账号id],源数据[[#This Row],[账号id]])</f>
        <v>1</v>
      </c>
      <c r="X420" s="15">
        <f>IFERROR(源数据[[#This Row],[点击量]]/源数据[[#This Row],[展示量]],"")</f>
        <v>0</v>
      </c>
      <c r="Y420" s="16">
        <f>IFERROR(源数据[[#This Row],[播放量]]/源数据[[#This Row],[展示量]],"")</f>
        <v>0</v>
      </c>
      <c r="Z420" s="16" t="str">
        <f>IFERROR(源数据[[#This Row],[三连投放总消耗(毫分)]]/源数据[[#This Row],[播放量]],"")</f>
        <v/>
      </c>
      <c r="AA42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21" s="2" customFormat="1" spans="1:27">
      <c r="A421" s="7">
        <v>46204</v>
      </c>
      <c r="B421" s="8" t="s">
        <v>937</v>
      </c>
      <c r="C421" s="8" t="s">
        <v>938</v>
      </c>
      <c r="D421" s="8" t="s">
        <v>91</v>
      </c>
      <c r="E421" s="8" t="s">
        <v>92</v>
      </c>
      <c r="F421" s="8" t="s">
        <v>110</v>
      </c>
      <c r="G421" s="9">
        <v>50</v>
      </c>
      <c r="H421" s="9">
        <v>1</v>
      </c>
      <c r="I421" s="10">
        <v>0.1701</v>
      </c>
      <c r="J421" s="11">
        <v>0.15</v>
      </c>
      <c r="K421" s="12">
        <f t="shared" si="42"/>
        <v>0.02</v>
      </c>
      <c r="L421" s="13">
        <f t="shared" si="43"/>
        <v>3.402</v>
      </c>
      <c r="M421" s="13">
        <f t="shared" si="44"/>
        <v>0.1701</v>
      </c>
      <c r="N421" s="11">
        <v>0</v>
      </c>
      <c r="O421" s="11">
        <v>0</v>
      </c>
      <c r="P421" s="11">
        <v>0</v>
      </c>
      <c r="Q421" s="13">
        <f t="shared" si="45"/>
        <v>0</v>
      </c>
      <c r="R421" s="11">
        <v>0</v>
      </c>
      <c r="S421" s="13">
        <f t="shared" si="46"/>
        <v>0</v>
      </c>
      <c r="T421" s="9">
        <v>1</v>
      </c>
      <c r="U421" s="13">
        <f t="shared" si="47"/>
        <v>5.87889476778366</v>
      </c>
      <c r="V421" s="12">
        <f t="shared" si="48"/>
        <v>0.02</v>
      </c>
      <c r="W421" s="17">
        <f>COUNTIFS(源数据[日期],源数据[[#This Row],[日期]],源数据[账号id],源数据[[#This Row],[账号id]])</f>
        <v>1</v>
      </c>
      <c r="X421" s="15">
        <f>IFERROR(源数据[[#This Row],[点击量]]/源数据[[#This Row],[展示量]],"")</f>
        <v>0.02</v>
      </c>
      <c r="Y421" s="16">
        <f>IFERROR(源数据[[#This Row],[播放量]]/源数据[[#This Row],[展示量]],"")</f>
        <v>0.02</v>
      </c>
      <c r="Z421" s="16">
        <f>IFERROR(源数据[[#This Row],[三连投放总消耗(毫分)]]/源数据[[#This Row],[播放量]],"")</f>
        <v>0.1701</v>
      </c>
      <c r="AA42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22" s="2" customFormat="1" spans="1:27">
      <c r="A422" s="7">
        <v>46204</v>
      </c>
      <c r="B422" s="8" t="s">
        <v>939</v>
      </c>
      <c r="C422" s="8" t="s">
        <v>940</v>
      </c>
      <c r="D422" s="8" t="s">
        <v>91</v>
      </c>
      <c r="E422" s="8" t="s">
        <v>92</v>
      </c>
      <c r="F422" s="8" t="s">
        <v>748</v>
      </c>
      <c r="G422" s="9">
        <v>144</v>
      </c>
      <c r="H422" s="9">
        <v>2</v>
      </c>
      <c r="I422" s="10">
        <v>0.16839</v>
      </c>
      <c r="J422" s="11">
        <v>0.13</v>
      </c>
      <c r="K422" s="12">
        <f t="shared" si="42"/>
        <v>0.0138888888888889</v>
      </c>
      <c r="L422" s="13">
        <f t="shared" si="43"/>
        <v>1.169375</v>
      </c>
      <c r="M422" s="13">
        <f t="shared" si="44"/>
        <v>0.084195</v>
      </c>
      <c r="N422" s="11">
        <v>0</v>
      </c>
      <c r="O422" s="11">
        <v>0</v>
      </c>
      <c r="P422" s="11">
        <v>0</v>
      </c>
      <c r="Q422" s="13">
        <f t="shared" si="45"/>
        <v>0</v>
      </c>
      <c r="R422" s="11">
        <v>0</v>
      </c>
      <c r="S422" s="13">
        <f t="shared" si="46"/>
        <v>0</v>
      </c>
      <c r="T422" s="9">
        <v>1</v>
      </c>
      <c r="U422" s="13">
        <f t="shared" si="47"/>
        <v>5.93859492843993</v>
      </c>
      <c r="V422" s="12">
        <f t="shared" si="48"/>
        <v>0.00694444444444444</v>
      </c>
      <c r="W422" s="17">
        <f>COUNTIFS(源数据[日期],源数据[[#This Row],[日期]],源数据[账号id],源数据[[#This Row],[账号id]])</f>
        <v>1</v>
      </c>
      <c r="X422" s="15">
        <f>IFERROR(源数据[[#This Row],[点击量]]/源数据[[#This Row],[展示量]],"")</f>
        <v>0.0138888888888889</v>
      </c>
      <c r="Y422" s="16">
        <f>IFERROR(源数据[[#This Row],[播放量]]/源数据[[#This Row],[展示量]],"")</f>
        <v>0.00694444444444444</v>
      </c>
      <c r="Z422" s="16">
        <f>IFERROR(源数据[[#This Row],[三连投放总消耗(毫分)]]/源数据[[#This Row],[播放量]],"")</f>
        <v>0.16839</v>
      </c>
      <c r="AA42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23" s="2" customFormat="1" spans="1:27">
      <c r="A423" s="7">
        <v>46204</v>
      </c>
      <c r="B423" s="8" t="s">
        <v>941</v>
      </c>
      <c r="C423" s="8" t="s">
        <v>942</v>
      </c>
      <c r="D423" s="8" t="s">
        <v>91</v>
      </c>
      <c r="E423" s="8" t="s">
        <v>92</v>
      </c>
      <c r="F423" s="8" t="s">
        <v>748</v>
      </c>
      <c r="G423" s="9">
        <v>85</v>
      </c>
      <c r="H423" s="9">
        <v>1</v>
      </c>
      <c r="I423" s="10">
        <v>0.1671</v>
      </c>
      <c r="J423" s="11">
        <v>0.13</v>
      </c>
      <c r="K423" s="12">
        <f t="shared" si="42"/>
        <v>0.0117647058823529</v>
      </c>
      <c r="L423" s="13">
        <f t="shared" si="43"/>
        <v>1.96588235294118</v>
      </c>
      <c r="M423" s="13">
        <f t="shared" si="44"/>
        <v>0.1671</v>
      </c>
      <c r="N423" s="11">
        <v>0</v>
      </c>
      <c r="O423" s="11">
        <v>0</v>
      </c>
      <c r="P423" s="11">
        <v>0</v>
      </c>
      <c r="Q423" s="13">
        <f t="shared" si="45"/>
        <v>0</v>
      </c>
      <c r="R423" s="11">
        <v>0</v>
      </c>
      <c r="S423" s="13">
        <f t="shared" si="46"/>
        <v>0</v>
      </c>
      <c r="T423" s="9">
        <v>1</v>
      </c>
      <c r="U423" s="13">
        <f t="shared" si="47"/>
        <v>5.98444045481747</v>
      </c>
      <c r="V423" s="12">
        <f t="shared" si="48"/>
        <v>0.0117647058823529</v>
      </c>
      <c r="W423" s="17">
        <f>COUNTIFS(源数据[日期],源数据[[#This Row],[日期]],源数据[账号id],源数据[[#This Row],[账号id]])</f>
        <v>1</v>
      </c>
      <c r="X423" s="15">
        <f>IFERROR(源数据[[#This Row],[点击量]]/源数据[[#This Row],[展示量]],"")</f>
        <v>0.0117647058823529</v>
      </c>
      <c r="Y423" s="16">
        <f>IFERROR(源数据[[#This Row],[播放量]]/源数据[[#This Row],[展示量]],"")</f>
        <v>0.0117647058823529</v>
      </c>
      <c r="Z423" s="16">
        <f>IFERROR(源数据[[#This Row],[三连投放总消耗(毫分)]]/源数据[[#This Row],[播放量]],"")</f>
        <v>0.1671</v>
      </c>
      <c r="AA42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24" s="2" customFormat="1" spans="1:27">
      <c r="A424" s="7">
        <v>46204</v>
      </c>
      <c r="B424" s="8" t="s">
        <v>943</v>
      </c>
      <c r="C424" s="8" t="s">
        <v>944</v>
      </c>
      <c r="D424" s="8" t="s">
        <v>91</v>
      </c>
      <c r="E424" s="8" t="s">
        <v>92</v>
      </c>
      <c r="F424" s="8" t="s">
        <v>115</v>
      </c>
      <c r="G424" s="9">
        <v>35</v>
      </c>
      <c r="H424" s="9">
        <v>14</v>
      </c>
      <c r="I424" s="10">
        <v>0.1667</v>
      </c>
      <c r="J424" s="11">
        <v>0.15</v>
      </c>
      <c r="K424" s="12">
        <f t="shared" si="42"/>
        <v>0.4</v>
      </c>
      <c r="L424" s="13">
        <f t="shared" si="43"/>
        <v>4.76285714285714</v>
      </c>
      <c r="M424" s="13">
        <f t="shared" si="44"/>
        <v>0.0119071428571429</v>
      </c>
      <c r="N424" s="11">
        <v>0</v>
      </c>
      <c r="O424" s="11">
        <v>0</v>
      </c>
      <c r="P424" s="11">
        <v>0</v>
      </c>
      <c r="Q424" s="13">
        <f t="shared" si="45"/>
        <v>0</v>
      </c>
      <c r="R424" s="11">
        <v>0</v>
      </c>
      <c r="S424" s="13">
        <f t="shared" si="46"/>
        <v>0</v>
      </c>
      <c r="T424" s="9">
        <v>1</v>
      </c>
      <c r="U424" s="13">
        <f t="shared" si="47"/>
        <v>5.99880023995201</v>
      </c>
      <c r="V424" s="12">
        <f t="shared" si="48"/>
        <v>0.0285714285714286</v>
      </c>
      <c r="W424" s="17">
        <f>COUNTIFS(源数据[日期],源数据[[#This Row],[日期]],源数据[账号id],源数据[[#This Row],[账号id]])</f>
        <v>1</v>
      </c>
      <c r="X424" s="15">
        <f>IFERROR(源数据[[#This Row],[点击量]]/源数据[[#This Row],[展示量]],"")</f>
        <v>0.4</v>
      </c>
      <c r="Y424" s="16">
        <f>IFERROR(源数据[[#This Row],[播放量]]/源数据[[#This Row],[展示量]],"")</f>
        <v>0.0285714285714286</v>
      </c>
      <c r="Z424" s="16">
        <f>IFERROR(源数据[[#This Row],[三连投放总消耗(毫分)]]/源数据[[#This Row],[播放量]],"")</f>
        <v>0.1667</v>
      </c>
      <c r="AA42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25" s="2" customFormat="1" spans="1:27">
      <c r="A425" s="7">
        <v>46204</v>
      </c>
      <c r="B425" s="8" t="s">
        <v>945</v>
      </c>
      <c r="C425" s="8" t="s">
        <v>946</v>
      </c>
      <c r="D425" s="8" t="s">
        <v>91</v>
      </c>
      <c r="E425" s="8" t="s">
        <v>92</v>
      </c>
      <c r="F425" s="8" t="s">
        <v>110</v>
      </c>
      <c r="G425" s="9">
        <v>23</v>
      </c>
      <c r="H425" s="9">
        <v>0</v>
      </c>
      <c r="I425" s="10">
        <v>0.16068</v>
      </c>
      <c r="J425" s="11">
        <v>0.15</v>
      </c>
      <c r="K425" s="12">
        <f t="shared" si="42"/>
        <v>0</v>
      </c>
      <c r="L425" s="13">
        <f t="shared" si="43"/>
        <v>6.98608695652174</v>
      </c>
      <c r="M425" s="13">
        <f t="shared" si="44"/>
        <v>0</v>
      </c>
      <c r="N425" s="11">
        <v>0</v>
      </c>
      <c r="O425" s="11">
        <v>0</v>
      </c>
      <c r="P425" s="11">
        <v>0</v>
      </c>
      <c r="Q425" s="13">
        <f t="shared" si="45"/>
        <v>0</v>
      </c>
      <c r="R425" s="11">
        <v>0</v>
      </c>
      <c r="S425" s="13">
        <f t="shared" si="46"/>
        <v>0</v>
      </c>
      <c r="T425" s="9">
        <v>0</v>
      </c>
      <c r="U425" s="13">
        <f t="shared" si="47"/>
        <v>0</v>
      </c>
      <c r="V425" s="12">
        <f t="shared" si="48"/>
        <v>0</v>
      </c>
      <c r="W425" s="17">
        <f>COUNTIFS(源数据[日期],源数据[[#This Row],[日期]],源数据[账号id],源数据[[#This Row],[账号id]])</f>
        <v>1</v>
      </c>
      <c r="X425" s="15">
        <f>IFERROR(源数据[[#This Row],[点击量]]/源数据[[#This Row],[展示量]],"")</f>
        <v>0</v>
      </c>
      <c r="Y425" s="16">
        <f>IFERROR(源数据[[#This Row],[播放量]]/源数据[[#This Row],[展示量]],"")</f>
        <v>0</v>
      </c>
      <c r="Z425" s="16" t="str">
        <f>IFERROR(源数据[[#This Row],[三连投放总消耗(毫分)]]/源数据[[#This Row],[播放量]],"")</f>
        <v/>
      </c>
      <c r="AA42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26" s="2" customFormat="1" spans="1:27">
      <c r="A426" s="7">
        <v>46204</v>
      </c>
      <c r="B426" s="8" t="s">
        <v>947</v>
      </c>
      <c r="C426" s="8" t="s">
        <v>948</v>
      </c>
      <c r="D426" s="8" t="s">
        <v>91</v>
      </c>
      <c r="E426" s="8" t="s">
        <v>92</v>
      </c>
      <c r="F426" s="8" t="s">
        <v>110</v>
      </c>
      <c r="G426" s="9">
        <v>45</v>
      </c>
      <c r="H426" s="9">
        <v>0</v>
      </c>
      <c r="I426" s="10">
        <v>0.15684</v>
      </c>
      <c r="J426" s="11">
        <v>0.14</v>
      </c>
      <c r="K426" s="12">
        <f t="shared" si="42"/>
        <v>0</v>
      </c>
      <c r="L426" s="13">
        <f t="shared" si="43"/>
        <v>3.48533333333333</v>
      </c>
      <c r="M426" s="13">
        <f t="shared" si="44"/>
        <v>0</v>
      </c>
      <c r="N426" s="11">
        <v>0</v>
      </c>
      <c r="O426" s="11">
        <v>0</v>
      </c>
      <c r="P426" s="11">
        <v>0</v>
      </c>
      <c r="Q426" s="13">
        <f t="shared" si="45"/>
        <v>0</v>
      </c>
      <c r="R426" s="11">
        <v>0</v>
      </c>
      <c r="S426" s="13">
        <f t="shared" si="46"/>
        <v>0</v>
      </c>
      <c r="T426" s="9">
        <v>0</v>
      </c>
      <c r="U426" s="13">
        <f t="shared" si="47"/>
        <v>0</v>
      </c>
      <c r="V426" s="12">
        <f t="shared" si="48"/>
        <v>0</v>
      </c>
      <c r="W426" s="17">
        <f>COUNTIFS(源数据[日期],源数据[[#This Row],[日期]],源数据[账号id],源数据[[#This Row],[账号id]])</f>
        <v>1</v>
      </c>
      <c r="X426" s="15">
        <f>IFERROR(源数据[[#This Row],[点击量]]/源数据[[#This Row],[展示量]],"")</f>
        <v>0</v>
      </c>
      <c r="Y426" s="16">
        <f>IFERROR(源数据[[#This Row],[播放量]]/源数据[[#This Row],[展示量]],"")</f>
        <v>0</v>
      </c>
      <c r="Z426" s="16" t="str">
        <f>IFERROR(源数据[[#This Row],[三连投放总消耗(毫分)]]/源数据[[#This Row],[播放量]],"")</f>
        <v/>
      </c>
      <c r="AA42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27" s="2" customFormat="1" spans="1:27">
      <c r="A427" s="7">
        <v>46204</v>
      </c>
      <c r="B427" s="8" t="s">
        <v>949</v>
      </c>
      <c r="C427" s="8" t="s">
        <v>950</v>
      </c>
      <c r="D427" s="8" t="s">
        <v>91</v>
      </c>
      <c r="E427" s="8" t="s">
        <v>92</v>
      </c>
      <c r="F427" s="8" t="s">
        <v>213</v>
      </c>
      <c r="G427" s="9">
        <v>10</v>
      </c>
      <c r="H427" s="9">
        <v>1</v>
      </c>
      <c r="I427" s="10">
        <v>0.15114</v>
      </c>
      <c r="J427" s="11">
        <v>0.14</v>
      </c>
      <c r="K427" s="12">
        <f t="shared" si="42"/>
        <v>0.1</v>
      </c>
      <c r="L427" s="13">
        <f t="shared" si="43"/>
        <v>15.114</v>
      </c>
      <c r="M427" s="13">
        <f t="shared" si="44"/>
        <v>0.15114</v>
      </c>
      <c r="N427" s="11">
        <v>0</v>
      </c>
      <c r="O427" s="11">
        <v>0</v>
      </c>
      <c r="P427" s="11">
        <v>1.08</v>
      </c>
      <c r="Q427" s="13">
        <f t="shared" si="45"/>
        <v>7.14569273521239</v>
      </c>
      <c r="R427" s="11">
        <v>1.08</v>
      </c>
      <c r="S427" s="13">
        <f t="shared" si="46"/>
        <v>7.14569273521239</v>
      </c>
      <c r="T427" s="9">
        <v>4</v>
      </c>
      <c r="U427" s="13">
        <f t="shared" si="47"/>
        <v>26.4655286489348</v>
      </c>
      <c r="V427" s="12">
        <f t="shared" si="48"/>
        <v>0.4</v>
      </c>
      <c r="W427" s="17">
        <f>COUNTIFS(源数据[日期],源数据[[#This Row],[日期]],源数据[账号id],源数据[[#This Row],[账号id]])</f>
        <v>1</v>
      </c>
      <c r="X427" s="15">
        <f>IFERROR(源数据[[#This Row],[点击量]]/源数据[[#This Row],[展示量]],"")</f>
        <v>0.1</v>
      </c>
      <c r="Y427" s="16">
        <f>IFERROR(源数据[[#This Row],[播放量]]/源数据[[#This Row],[展示量]],"")</f>
        <v>0.4</v>
      </c>
      <c r="Z427" s="16">
        <f>IFERROR(源数据[[#This Row],[三连投放总消耗(毫分)]]/源数据[[#This Row],[播放量]],"")</f>
        <v>0.037785</v>
      </c>
      <c r="AA42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28" s="2" customFormat="1" spans="1:27">
      <c r="A428" s="7">
        <v>46204</v>
      </c>
      <c r="B428" s="8" t="s">
        <v>951</v>
      </c>
      <c r="C428" s="8" t="s">
        <v>952</v>
      </c>
      <c r="D428" s="8" t="s">
        <v>91</v>
      </c>
      <c r="E428" s="8" t="s">
        <v>92</v>
      </c>
      <c r="F428" s="8" t="s">
        <v>115</v>
      </c>
      <c r="G428" s="9">
        <v>40</v>
      </c>
      <c r="H428" s="9">
        <v>18</v>
      </c>
      <c r="I428" s="10">
        <v>0.13831</v>
      </c>
      <c r="J428" s="11">
        <v>0.13</v>
      </c>
      <c r="K428" s="12">
        <f t="shared" si="42"/>
        <v>0.45</v>
      </c>
      <c r="L428" s="13">
        <f t="shared" si="43"/>
        <v>3.45775</v>
      </c>
      <c r="M428" s="13">
        <f t="shared" si="44"/>
        <v>0.00768388888888889</v>
      </c>
      <c r="N428" s="11">
        <v>0</v>
      </c>
      <c r="O428" s="11">
        <v>0</v>
      </c>
      <c r="P428" s="11">
        <v>0</v>
      </c>
      <c r="Q428" s="13">
        <f t="shared" si="45"/>
        <v>0</v>
      </c>
      <c r="R428" s="11">
        <v>0</v>
      </c>
      <c r="S428" s="13">
        <f t="shared" si="46"/>
        <v>0</v>
      </c>
      <c r="T428" s="9">
        <v>4</v>
      </c>
      <c r="U428" s="13">
        <f t="shared" si="47"/>
        <v>28.9205408141132</v>
      </c>
      <c r="V428" s="12">
        <f t="shared" si="48"/>
        <v>0.1</v>
      </c>
      <c r="W428" s="17">
        <f>COUNTIFS(源数据[日期],源数据[[#This Row],[日期]],源数据[账号id],源数据[[#This Row],[账号id]])</f>
        <v>1</v>
      </c>
      <c r="X428" s="15">
        <f>IFERROR(源数据[[#This Row],[点击量]]/源数据[[#This Row],[展示量]],"")</f>
        <v>0.45</v>
      </c>
      <c r="Y428" s="16">
        <f>IFERROR(源数据[[#This Row],[播放量]]/源数据[[#This Row],[展示量]],"")</f>
        <v>0.1</v>
      </c>
      <c r="Z428" s="16">
        <f>IFERROR(源数据[[#This Row],[三连投放总消耗(毫分)]]/源数据[[#This Row],[播放量]],"")</f>
        <v>0.0345775</v>
      </c>
      <c r="AA42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29" s="2" customFormat="1" spans="1:27">
      <c r="A429" s="7">
        <v>46204</v>
      </c>
      <c r="B429" s="8" t="s">
        <v>953</v>
      </c>
      <c r="C429" s="8" t="s">
        <v>954</v>
      </c>
      <c r="D429" s="8" t="s">
        <v>91</v>
      </c>
      <c r="E429" s="8" t="s">
        <v>92</v>
      </c>
      <c r="F429" s="8" t="s">
        <v>110</v>
      </c>
      <c r="G429" s="9">
        <v>31</v>
      </c>
      <c r="H429" s="9">
        <v>1</v>
      </c>
      <c r="I429" s="10">
        <v>0.13804</v>
      </c>
      <c r="J429" s="11">
        <v>0.12</v>
      </c>
      <c r="K429" s="12">
        <f t="shared" si="42"/>
        <v>0.032258064516129</v>
      </c>
      <c r="L429" s="13">
        <f t="shared" si="43"/>
        <v>4.45290322580645</v>
      </c>
      <c r="M429" s="13">
        <f t="shared" si="44"/>
        <v>0.13804</v>
      </c>
      <c r="N429" s="11">
        <v>0</v>
      </c>
      <c r="O429" s="11">
        <v>0</v>
      </c>
      <c r="P429" s="11">
        <v>0</v>
      </c>
      <c r="Q429" s="13">
        <f t="shared" si="45"/>
        <v>0</v>
      </c>
      <c r="R429" s="11">
        <v>0</v>
      </c>
      <c r="S429" s="13">
        <f t="shared" si="46"/>
        <v>0</v>
      </c>
      <c r="T429" s="9">
        <v>1</v>
      </c>
      <c r="U429" s="13">
        <f t="shared" si="47"/>
        <v>7.24427702115329</v>
      </c>
      <c r="V429" s="12">
        <f t="shared" si="48"/>
        <v>0.032258064516129</v>
      </c>
      <c r="W429" s="17">
        <f>COUNTIFS(源数据[日期],源数据[[#This Row],[日期]],源数据[账号id],源数据[[#This Row],[账号id]])</f>
        <v>1</v>
      </c>
      <c r="X429" s="15">
        <f>IFERROR(源数据[[#This Row],[点击量]]/源数据[[#This Row],[展示量]],"")</f>
        <v>0.032258064516129</v>
      </c>
      <c r="Y429" s="16">
        <f>IFERROR(源数据[[#This Row],[播放量]]/源数据[[#This Row],[展示量]],"")</f>
        <v>0.032258064516129</v>
      </c>
      <c r="Z429" s="16">
        <f>IFERROR(源数据[[#This Row],[三连投放总消耗(毫分)]]/源数据[[#This Row],[播放量]],"")</f>
        <v>0.13804</v>
      </c>
      <c r="AA42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30" s="2" customFormat="1" spans="1:27">
      <c r="A430" s="7">
        <v>46204</v>
      </c>
      <c r="B430" s="8" t="s">
        <v>955</v>
      </c>
      <c r="C430" s="8" t="s">
        <v>956</v>
      </c>
      <c r="D430" s="8" t="s">
        <v>91</v>
      </c>
      <c r="E430" s="8" t="s">
        <v>92</v>
      </c>
      <c r="F430" s="8" t="s">
        <v>110</v>
      </c>
      <c r="G430" s="9">
        <v>18</v>
      </c>
      <c r="H430" s="9">
        <v>1</v>
      </c>
      <c r="I430" s="10">
        <v>0.1367</v>
      </c>
      <c r="J430" s="11">
        <v>0.12</v>
      </c>
      <c r="K430" s="12">
        <f t="shared" si="42"/>
        <v>0.0555555555555556</v>
      </c>
      <c r="L430" s="13">
        <f t="shared" si="43"/>
        <v>7.59444444444444</v>
      </c>
      <c r="M430" s="13">
        <f t="shared" si="44"/>
        <v>0.1367</v>
      </c>
      <c r="N430" s="11">
        <v>0</v>
      </c>
      <c r="O430" s="11">
        <v>0</v>
      </c>
      <c r="P430" s="11">
        <v>0</v>
      </c>
      <c r="Q430" s="13">
        <f t="shared" si="45"/>
        <v>0</v>
      </c>
      <c r="R430" s="11">
        <v>0</v>
      </c>
      <c r="S430" s="13">
        <f t="shared" si="46"/>
        <v>0</v>
      </c>
      <c r="T430" s="9">
        <v>1</v>
      </c>
      <c r="U430" s="13">
        <f t="shared" si="47"/>
        <v>7.31528895391368</v>
      </c>
      <c r="V430" s="12">
        <f t="shared" si="48"/>
        <v>0.0555555555555556</v>
      </c>
      <c r="W430" s="17">
        <f>COUNTIFS(源数据[日期],源数据[[#This Row],[日期]],源数据[账号id],源数据[[#This Row],[账号id]])</f>
        <v>1</v>
      </c>
      <c r="X430" s="15">
        <f>IFERROR(源数据[[#This Row],[点击量]]/源数据[[#This Row],[展示量]],"")</f>
        <v>0.0555555555555556</v>
      </c>
      <c r="Y430" s="16">
        <f>IFERROR(源数据[[#This Row],[播放量]]/源数据[[#This Row],[展示量]],"")</f>
        <v>0.0555555555555556</v>
      </c>
      <c r="Z430" s="16">
        <f>IFERROR(源数据[[#This Row],[三连投放总消耗(毫分)]]/源数据[[#This Row],[播放量]],"")</f>
        <v>0.1367</v>
      </c>
      <c r="AA43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31" s="2" customFormat="1" spans="1:27">
      <c r="A431" s="7">
        <v>46204</v>
      </c>
      <c r="B431" s="8" t="s">
        <v>957</v>
      </c>
      <c r="C431" s="8" t="s">
        <v>958</v>
      </c>
      <c r="D431" s="8" t="s">
        <v>91</v>
      </c>
      <c r="E431" s="8" t="s">
        <v>92</v>
      </c>
      <c r="F431" s="8" t="s">
        <v>110</v>
      </c>
      <c r="G431" s="9">
        <v>39</v>
      </c>
      <c r="H431" s="9">
        <v>2</v>
      </c>
      <c r="I431" s="10">
        <v>0.13537</v>
      </c>
      <c r="J431" s="11">
        <v>0.11</v>
      </c>
      <c r="K431" s="12">
        <f t="shared" si="42"/>
        <v>0.0512820512820513</v>
      </c>
      <c r="L431" s="13">
        <f t="shared" si="43"/>
        <v>3.47102564102564</v>
      </c>
      <c r="M431" s="13">
        <f t="shared" si="44"/>
        <v>0.067685</v>
      </c>
      <c r="N431" s="11">
        <v>0</v>
      </c>
      <c r="O431" s="11">
        <v>0</v>
      </c>
      <c r="P431" s="11">
        <v>0</v>
      </c>
      <c r="Q431" s="13">
        <f t="shared" si="45"/>
        <v>0</v>
      </c>
      <c r="R431" s="11">
        <v>0</v>
      </c>
      <c r="S431" s="13">
        <f t="shared" si="46"/>
        <v>0</v>
      </c>
      <c r="T431" s="9">
        <v>2</v>
      </c>
      <c r="U431" s="13">
        <f t="shared" si="47"/>
        <v>14.7743222279678</v>
      </c>
      <c r="V431" s="12">
        <f t="shared" si="48"/>
        <v>0.0512820512820513</v>
      </c>
      <c r="W431" s="17">
        <f>COUNTIFS(源数据[日期],源数据[[#This Row],[日期]],源数据[账号id],源数据[[#This Row],[账号id]])</f>
        <v>1</v>
      </c>
      <c r="X431" s="15">
        <f>IFERROR(源数据[[#This Row],[点击量]]/源数据[[#This Row],[展示量]],"")</f>
        <v>0.0512820512820513</v>
      </c>
      <c r="Y431" s="16">
        <f>IFERROR(源数据[[#This Row],[播放量]]/源数据[[#This Row],[展示量]],"")</f>
        <v>0.0512820512820513</v>
      </c>
      <c r="Z431" s="16">
        <f>IFERROR(源数据[[#This Row],[三连投放总消耗(毫分)]]/源数据[[#This Row],[播放量]],"")</f>
        <v>0.067685</v>
      </c>
      <c r="AA43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32" s="2" customFormat="1" spans="1:27">
      <c r="A432" s="7">
        <v>46204</v>
      </c>
      <c r="B432" s="8" t="s">
        <v>959</v>
      </c>
      <c r="C432" s="8" t="s">
        <v>960</v>
      </c>
      <c r="D432" s="8" t="s">
        <v>91</v>
      </c>
      <c r="E432" s="8" t="s">
        <v>92</v>
      </c>
      <c r="F432" s="8" t="s">
        <v>110</v>
      </c>
      <c r="G432" s="9">
        <v>38</v>
      </c>
      <c r="H432" s="9">
        <v>0</v>
      </c>
      <c r="I432" s="10">
        <v>0.13411</v>
      </c>
      <c r="J432" s="11">
        <v>0.12</v>
      </c>
      <c r="K432" s="12">
        <f t="shared" si="42"/>
        <v>0</v>
      </c>
      <c r="L432" s="13">
        <f t="shared" si="43"/>
        <v>3.52921052631579</v>
      </c>
      <c r="M432" s="13">
        <f t="shared" si="44"/>
        <v>0</v>
      </c>
      <c r="N432" s="11">
        <v>0</v>
      </c>
      <c r="O432" s="11">
        <v>0</v>
      </c>
      <c r="P432" s="11">
        <v>0</v>
      </c>
      <c r="Q432" s="13">
        <f t="shared" si="45"/>
        <v>0</v>
      </c>
      <c r="R432" s="11">
        <v>0</v>
      </c>
      <c r="S432" s="13">
        <f t="shared" si="46"/>
        <v>0</v>
      </c>
      <c r="T432" s="9">
        <v>1</v>
      </c>
      <c r="U432" s="13">
        <f t="shared" si="47"/>
        <v>7.45656550592797</v>
      </c>
      <c r="V432" s="12">
        <f t="shared" si="48"/>
        <v>0.0263157894736842</v>
      </c>
      <c r="W432" s="17">
        <f>COUNTIFS(源数据[日期],源数据[[#This Row],[日期]],源数据[账号id],源数据[[#This Row],[账号id]])</f>
        <v>1</v>
      </c>
      <c r="X432" s="15">
        <f>IFERROR(源数据[[#This Row],[点击量]]/源数据[[#This Row],[展示量]],"")</f>
        <v>0</v>
      </c>
      <c r="Y432" s="16">
        <f>IFERROR(源数据[[#This Row],[播放量]]/源数据[[#This Row],[展示量]],"")</f>
        <v>0.0263157894736842</v>
      </c>
      <c r="Z432" s="16">
        <f>IFERROR(源数据[[#This Row],[三连投放总消耗(毫分)]]/源数据[[#This Row],[播放量]],"")</f>
        <v>0.13411</v>
      </c>
      <c r="AA43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33" s="2" customFormat="1" spans="1:27">
      <c r="A433" s="7">
        <v>46204</v>
      </c>
      <c r="B433" s="8" t="s">
        <v>961</v>
      </c>
      <c r="C433" s="8" t="s">
        <v>962</v>
      </c>
      <c r="D433" s="8" t="s">
        <v>91</v>
      </c>
      <c r="E433" s="8" t="s">
        <v>92</v>
      </c>
      <c r="F433" s="8" t="s">
        <v>110</v>
      </c>
      <c r="G433" s="9">
        <v>33</v>
      </c>
      <c r="H433" s="9">
        <v>1</v>
      </c>
      <c r="I433" s="10">
        <v>0.13314</v>
      </c>
      <c r="J433" s="11">
        <v>0.12</v>
      </c>
      <c r="K433" s="12">
        <f t="shared" si="42"/>
        <v>0.0303030303030303</v>
      </c>
      <c r="L433" s="13">
        <f t="shared" si="43"/>
        <v>4.03454545454546</v>
      </c>
      <c r="M433" s="13">
        <f t="shared" si="44"/>
        <v>0.13314</v>
      </c>
      <c r="N433" s="11">
        <v>0</v>
      </c>
      <c r="O433" s="11">
        <v>0</v>
      </c>
      <c r="P433" s="11">
        <v>0</v>
      </c>
      <c r="Q433" s="13">
        <f t="shared" si="45"/>
        <v>0</v>
      </c>
      <c r="R433" s="11">
        <v>0</v>
      </c>
      <c r="S433" s="13">
        <f t="shared" si="46"/>
        <v>0</v>
      </c>
      <c r="T433" s="9">
        <v>2</v>
      </c>
      <c r="U433" s="13">
        <f t="shared" si="47"/>
        <v>15.0217815832958</v>
      </c>
      <c r="V433" s="12">
        <f t="shared" si="48"/>
        <v>0.0606060606060606</v>
      </c>
      <c r="W433" s="17">
        <f>COUNTIFS(源数据[日期],源数据[[#This Row],[日期]],源数据[账号id],源数据[[#This Row],[账号id]])</f>
        <v>1</v>
      </c>
      <c r="X433" s="15">
        <f>IFERROR(源数据[[#This Row],[点击量]]/源数据[[#This Row],[展示量]],"")</f>
        <v>0.0303030303030303</v>
      </c>
      <c r="Y433" s="16">
        <f>IFERROR(源数据[[#This Row],[播放量]]/源数据[[#This Row],[展示量]],"")</f>
        <v>0.0606060606060606</v>
      </c>
      <c r="Z433" s="16">
        <f>IFERROR(源数据[[#This Row],[三连投放总消耗(毫分)]]/源数据[[#This Row],[播放量]],"")</f>
        <v>0.06657</v>
      </c>
      <c r="AA43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34" s="2" customFormat="1" spans="1:27">
      <c r="A434" s="7">
        <v>46204</v>
      </c>
      <c r="B434" s="8" t="s">
        <v>963</v>
      </c>
      <c r="C434" s="8" t="s">
        <v>964</v>
      </c>
      <c r="D434" s="8" t="s">
        <v>91</v>
      </c>
      <c r="E434" s="8" t="s">
        <v>92</v>
      </c>
      <c r="F434" s="8" t="s">
        <v>110</v>
      </c>
      <c r="G434" s="9">
        <v>34</v>
      </c>
      <c r="H434" s="9">
        <v>0</v>
      </c>
      <c r="I434" s="10">
        <v>0.13099</v>
      </c>
      <c r="J434" s="11">
        <v>0.09</v>
      </c>
      <c r="K434" s="12">
        <f t="shared" si="42"/>
        <v>0</v>
      </c>
      <c r="L434" s="13">
        <f t="shared" si="43"/>
        <v>3.85264705882353</v>
      </c>
      <c r="M434" s="13">
        <f t="shared" si="44"/>
        <v>0</v>
      </c>
      <c r="N434" s="11">
        <v>0</v>
      </c>
      <c r="O434" s="11">
        <v>0</v>
      </c>
      <c r="P434" s="11">
        <v>0</v>
      </c>
      <c r="Q434" s="13">
        <f t="shared" si="45"/>
        <v>0</v>
      </c>
      <c r="R434" s="11">
        <v>0</v>
      </c>
      <c r="S434" s="13">
        <f t="shared" si="46"/>
        <v>0</v>
      </c>
      <c r="T434" s="9">
        <v>1</v>
      </c>
      <c r="U434" s="13">
        <f t="shared" si="47"/>
        <v>7.63417054737003</v>
      </c>
      <c r="V434" s="12">
        <f t="shared" si="48"/>
        <v>0.0294117647058824</v>
      </c>
      <c r="W434" s="17">
        <f>COUNTIFS(源数据[日期],源数据[[#This Row],[日期]],源数据[账号id],源数据[[#This Row],[账号id]])</f>
        <v>1</v>
      </c>
      <c r="X434" s="15">
        <f>IFERROR(源数据[[#This Row],[点击量]]/源数据[[#This Row],[展示量]],"")</f>
        <v>0</v>
      </c>
      <c r="Y434" s="16">
        <f>IFERROR(源数据[[#This Row],[播放量]]/源数据[[#This Row],[展示量]],"")</f>
        <v>0.0294117647058824</v>
      </c>
      <c r="Z434" s="16">
        <f>IFERROR(源数据[[#This Row],[三连投放总消耗(毫分)]]/源数据[[#This Row],[播放量]],"")</f>
        <v>0.13099</v>
      </c>
      <c r="AA43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35" s="2" customFormat="1" spans="1:27">
      <c r="A435" s="7">
        <v>46204</v>
      </c>
      <c r="B435" s="8" t="s">
        <v>965</v>
      </c>
      <c r="C435" s="8" t="s">
        <v>966</v>
      </c>
      <c r="D435" s="8" t="s">
        <v>91</v>
      </c>
      <c r="E435" s="8" t="s">
        <v>92</v>
      </c>
      <c r="F435" s="8" t="s">
        <v>115</v>
      </c>
      <c r="G435" s="9">
        <v>21</v>
      </c>
      <c r="H435" s="9">
        <v>1</v>
      </c>
      <c r="I435" s="10">
        <v>0.13049</v>
      </c>
      <c r="J435" s="11">
        <v>0.12</v>
      </c>
      <c r="K435" s="12">
        <f t="shared" si="42"/>
        <v>0.0476190476190476</v>
      </c>
      <c r="L435" s="13">
        <f t="shared" si="43"/>
        <v>6.21380952380952</v>
      </c>
      <c r="M435" s="13">
        <f t="shared" si="44"/>
        <v>0.13049</v>
      </c>
      <c r="N435" s="11">
        <v>0</v>
      </c>
      <c r="O435" s="11">
        <v>0</v>
      </c>
      <c r="P435" s="11">
        <v>0</v>
      </c>
      <c r="Q435" s="13">
        <f t="shared" si="45"/>
        <v>0</v>
      </c>
      <c r="R435" s="11">
        <v>0</v>
      </c>
      <c r="S435" s="13">
        <f t="shared" si="46"/>
        <v>0</v>
      </c>
      <c r="T435" s="9">
        <v>2</v>
      </c>
      <c r="U435" s="13">
        <f t="shared" si="47"/>
        <v>15.3268449689631</v>
      </c>
      <c r="V435" s="12">
        <f t="shared" si="48"/>
        <v>0.0952380952380952</v>
      </c>
      <c r="W435" s="17">
        <f>COUNTIFS(源数据[日期],源数据[[#This Row],[日期]],源数据[账号id],源数据[[#This Row],[账号id]])</f>
        <v>1</v>
      </c>
      <c r="X435" s="15">
        <f>IFERROR(源数据[[#This Row],[点击量]]/源数据[[#This Row],[展示量]],"")</f>
        <v>0.0476190476190476</v>
      </c>
      <c r="Y435" s="16">
        <f>IFERROR(源数据[[#This Row],[播放量]]/源数据[[#This Row],[展示量]],"")</f>
        <v>0.0952380952380952</v>
      </c>
      <c r="Z435" s="16">
        <f>IFERROR(源数据[[#This Row],[三连投放总消耗(毫分)]]/源数据[[#This Row],[播放量]],"")</f>
        <v>0.065245</v>
      </c>
      <c r="AA43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36" s="2" customFormat="1" spans="1:27">
      <c r="A436" s="7">
        <v>46204</v>
      </c>
      <c r="B436" s="8" t="s">
        <v>967</v>
      </c>
      <c r="C436" s="8" t="s">
        <v>968</v>
      </c>
      <c r="D436" s="8" t="s">
        <v>91</v>
      </c>
      <c r="E436" s="8" t="s">
        <v>92</v>
      </c>
      <c r="F436" s="8" t="s">
        <v>110</v>
      </c>
      <c r="G436" s="9">
        <v>16</v>
      </c>
      <c r="H436" s="9">
        <v>1</v>
      </c>
      <c r="I436" s="10">
        <v>0.12904</v>
      </c>
      <c r="J436" s="11">
        <v>0.12</v>
      </c>
      <c r="K436" s="12">
        <f t="shared" si="42"/>
        <v>0.0625</v>
      </c>
      <c r="L436" s="13">
        <f t="shared" si="43"/>
        <v>8.065</v>
      </c>
      <c r="M436" s="13">
        <f t="shared" si="44"/>
        <v>0.12904</v>
      </c>
      <c r="N436" s="11">
        <v>0</v>
      </c>
      <c r="O436" s="11">
        <v>0</v>
      </c>
      <c r="P436" s="11">
        <v>0.92</v>
      </c>
      <c r="Q436" s="13">
        <f t="shared" si="45"/>
        <v>7.12957222566646</v>
      </c>
      <c r="R436" s="11">
        <v>0.92</v>
      </c>
      <c r="S436" s="13">
        <f t="shared" si="46"/>
        <v>7.12957222566646</v>
      </c>
      <c r="T436" s="9">
        <v>2</v>
      </c>
      <c r="U436" s="13">
        <f t="shared" si="47"/>
        <v>15.4990700557967</v>
      </c>
      <c r="V436" s="12">
        <f t="shared" si="48"/>
        <v>0.125</v>
      </c>
      <c r="W436" s="17">
        <f>COUNTIFS(源数据[日期],源数据[[#This Row],[日期]],源数据[账号id],源数据[[#This Row],[账号id]])</f>
        <v>1</v>
      </c>
      <c r="X436" s="15">
        <f>IFERROR(源数据[[#This Row],[点击量]]/源数据[[#This Row],[展示量]],"")</f>
        <v>0.0625</v>
      </c>
      <c r="Y436" s="16">
        <f>IFERROR(源数据[[#This Row],[播放量]]/源数据[[#This Row],[展示量]],"")</f>
        <v>0.125</v>
      </c>
      <c r="Z436" s="16">
        <f>IFERROR(源数据[[#This Row],[三连投放总消耗(毫分)]]/源数据[[#This Row],[播放量]],"")</f>
        <v>0.06452</v>
      </c>
      <c r="AA43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37" s="2" customFormat="1" spans="1:27">
      <c r="A437" s="7">
        <v>46204</v>
      </c>
      <c r="B437" s="8" t="s">
        <v>969</v>
      </c>
      <c r="C437" s="8" t="s">
        <v>970</v>
      </c>
      <c r="D437" s="8" t="s">
        <v>91</v>
      </c>
      <c r="E437" s="8" t="s">
        <v>92</v>
      </c>
      <c r="F437" s="8" t="s">
        <v>110</v>
      </c>
      <c r="G437" s="9">
        <v>42</v>
      </c>
      <c r="H437" s="9">
        <v>1</v>
      </c>
      <c r="I437" s="10">
        <v>0.12808</v>
      </c>
      <c r="J437" s="11">
        <v>0.11</v>
      </c>
      <c r="K437" s="12">
        <f t="shared" si="42"/>
        <v>0.0238095238095238</v>
      </c>
      <c r="L437" s="13">
        <f t="shared" si="43"/>
        <v>3.04952380952381</v>
      </c>
      <c r="M437" s="13">
        <f t="shared" si="44"/>
        <v>0.12808</v>
      </c>
      <c r="N437" s="11">
        <v>0</v>
      </c>
      <c r="O437" s="11">
        <v>0</v>
      </c>
      <c r="P437" s="11">
        <v>0</v>
      </c>
      <c r="Q437" s="13">
        <f t="shared" si="45"/>
        <v>0</v>
      </c>
      <c r="R437" s="11">
        <v>0</v>
      </c>
      <c r="S437" s="13">
        <f t="shared" si="46"/>
        <v>0</v>
      </c>
      <c r="T437" s="9">
        <v>1</v>
      </c>
      <c r="U437" s="13">
        <f t="shared" si="47"/>
        <v>7.80762023735166</v>
      </c>
      <c r="V437" s="12">
        <f t="shared" si="48"/>
        <v>0.0238095238095238</v>
      </c>
      <c r="W437" s="17">
        <f>COUNTIFS(源数据[日期],源数据[[#This Row],[日期]],源数据[账号id],源数据[[#This Row],[账号id]])</f>
        <v>1</v>
      </c>
      <c r="X437" s="15">
        <f>IFERROR(源数据[[#This Row],[点击量]]/源数据[[#This Row],[展示量]],"")</f>
        <v>0.0238095238095238</v>
      </c>
      <c r="Y437" s="16">
        <f>IFERROR(源数据[[#This Row],[播放量]]/源数据[[#This Row],[展示量]],"")</f>
        <v>0.0238095238095238</v>
      </c>
      <c r="Z437" s="16">
        <f>IFERROR(源数据[[#This Row],[三连投放总消耗(毫分)]]/源数据[[#This Row],[播放量]],"")</f>
        <v>0.12808</v>
      </c>
      <c r="AA43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38" s="2" customFormat="1" spans="1:27">
      <c r="A438" s="7">
        <v>46204</v>
      </c>
      <c r="B438" s="8" t="s">
        <v>971</v>
      </c>
      <c r="C438" s="8" t="s">
        <v>972</v>
      </c>
      <c r="D438" s="8" t="s">
        <v>91</v>
      </c>
      <c r="E438" s="8" t="s">
        <v>92</v>
      </c>
      <c r="F438" s="8" t="s">
        <v>748</v>
      </c>
      <c r="G438" s="9">
        <v>188</v>
      </c>
      <c r="H438" s="9">
        <v>3</v>
      </c>
      <c r="I438" s="10">
        <v>0.1266</v>
      </c>
      <c r="J438" s="11">
        <v>0.11</v>
      </c>
      <c r="K438" s="12">
        <f t="shared" si="42"/>
        <v>0.0159574468085106</v>
      </c>
      <c r="L438" s="13">
        <f t="shared" si="43"/>
        <v>0.673404255319149</v>
      </c>
      <c r="M438" s="13">
        <f t="shared" si="44"/>
        <v>0.0422</v>
      </c>
      <c r="N438" s="11">
        <v>0</v>
      </c>
      <c r="O438" s="11">
        <v>0</v>
      </c>
      <c r="P438" s="11">
        <v>0</v>
      </c>
      <c r="Q438" s="13">
        <f t="shared" si="45"/>
        <v>0</v>
      </c>
      <c r="R438" s="11">
        <v>0</v>
      </c>
      <c r="S438" s="13">
        <f t="shared" si="46"/>
        <v>0</v>
      </c>
      <c r="T438" s="9">
        <v>2</v>
      </c>
      <c r="U438" s="13">
        <f t="shared" si="47"/>
        <v>15.7977883096367</v>
      </c>
      <c r="V438" s="12">
        <f t="shared" si="48"/>
        <v>0.0106382978723404</v>
      </c>
      <c r="W438" s="17">
        <f>COUNTIFS(源数据[日期],源数据[[#This Row],[日期]],源数据[账号id],源数据[[#This Row],[账号id]])</f>
        <v>1</v>
      </c>
      <c r="X438" s="15">
        <f>IFERROR(源数据[[#This Row],[点击量]]/源数据[[#This Row],[展示量]],"")</f>
        <v>0.0159574468085106</v>
      </c>
      <c r="Y438" s="16">
        <f>IFERROR(源数据[[#This Row],[播放量]]/源数据[[#This Row],[展示量]],"")</f>
        <v>0.0106382978723404</v>
      </c>
      <c r="Z438" s="16">
        <f>IFERROR(源数据[[#This Row],[三连投放总消耗(毫分)]]/源数据[[#This Row],[播放量]],"")</f>
        <v>0.0633</v>
      </c>
      <c r="AA43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39" s="2" customFormat="1" spans="1:27">
      <c r="A439" s="7">
        <v>46204</v>
      </c>
      <c r="B439" s="8" t="s">
        <v>973</v>
      </c>
      <c r="C439" s="8" t="s">
        <v>974</v>
      </c>
      <c r="D439" s="8" t="s">
        <v>91</v>
      </c>
      <c r="E439" s="8" t="s">
        <v>92</v>
      </c>
      <c r="F439" s="8" t="s">
        <v>110</v>
      </c>
      <c r="G439" s="9">
        <v>34</v>
      </c>
      <c r="H439" s="9">
        <v>1</v>
      </c>
      <c r="I439" s="10">
        <v>0.12488</v>
      </c>
      <c r="J439" s="11">
        <v>0.1</v>
      </c>
      <c r="K439" s="12">
        <f t="shared" si="42"/>
        <v>0.0294117647058824</v>
      </c>
      <c r="L439" s="13">
        <f t="shared" si="43"/>
        <v>3.67294117647059</v>
      </c>
      <c r="M439" s="13">
        <f t="shared" si="44"/>
        <v>0.12488</v>
      </c>
      <c r="N439" s="11">
        <v>0</v>
      </c>
      <c r="O439" s="11">
        <v>0</v>
      </c>
      <c r="P439" s="11">
        <v>0.04</v>
      </c>
      <c r="Q439" s="13">
        <f t="shared" si="45"/>
        <v>0.320307495195388</v>
      </c>
      <c r="R439" s="11">
        <v>0.04</v>
      </c>
      <c r="S439" s="13">
        <f t="shared" si="46"/>
        <v>0.320307495195388</v>
      </c>
      <c r="T439" s="9">
        <v>1</v>
      </c>
      <c r="U439" s="13">
        <f t="shared" si="47"/>
        <v>8.00768737988469</v>
      </c>
      <c r="V439" s="12">
        <f t="shared" si="48"/>
        <v>0.0294117647058824</v>
      </c>
      <c r="W439" s="17">
        <f>COUNTIFS(源数据[日期],源数据[[#This Row],[日期]],源数据[账号id],源数据[[#This Row],[账号id]])</f>
        <v>1</v>
      </c>
      <c r="X439" s="15">
        <f>IFERROR(源数据[[#This Row],[点击量]]/源数据[[#This Row],[展示量]],"")</f>
        <v>0.0294117647058824</v>
      </c>
      <c r="Y439" s="16">
        <f>IFERROR(源数据[[#This Row],[播放量]]/源数据[[#This Row],[展示量]],"")</f>
        <v>0.0294117647058824</v>
      </c>
      <c r="Z439" s="16">
        <f>IFERROR(源数据[[#This Row],[三连投放总消耗(毫分)]]/源数据[[#This Row],[播放量]],"")</f>
        <v>0.12488</v>
      </c>
      <c r="AA43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40" s="2" customFormat="1" spans="1:27">
      <c r="A440" s="7">
        <v>46204</v>
      </c>
      <c r="B440" s="8" t="s">
        <v>975</v>
      </c>
      <c r="C440" s="8" t="s">
        <v>976</v>
      </c>
      <c r="D440" s="8" t="s">
        <v>91</v>
      </c>
      <c r="E440" s="8" t="s">
        <v>92</v>
      </c>
      <c r="F440" s="8" t="s">
        <v>110</v>
      </c>
      <c r="G440" s="9">
        <v>22</v>
      </c>
      <c r="H440" s="9">
        <v>1</v>
      </c>
      <c r="I440" s="10">
        <v>0.1247</v>
      </c>
      <c r="J440" s="11">
        <v>0.11</v>
      </c>
      <c r="K440" s="12">
        <f t="shared" si="42"/>
        <v>0.0454545454545455</v>
      </c>
      <c r="L440" s="13">
        <f t="shared" si="43"/>
        <v>5.66818181818182</v>
      </c>
      <c r="M440" s="13">
        <f t="shared" si="44"/>
        <v>0.1247</v>
      </c>
      <c r="N440" s="11">
        <v>0</v>
      </c>
      <c r="O440" s="11">
        <v>0</v>
      </c>
      <c r="P440" s="11">
        <v>0.18</v>
      </c>
      <c r="Q440" s="13">
        <f t="shared" si="45"/>
        <v>1.44346431435445</v>
      </c>
      <c r="R440" s="11">
        <v>0.18</v>
      </c>
      <c r="S440" s="13">
        <f t="shared" si="46"/>
        <v>1.44346431435445</v>
      </c>
      <c r="T440" s="9">
        <v>1</v>
      </c>
      <c r="U440" s="13">
        <f t="shared" si="47"/>
        <v>8.01924619085806</v>
      </c>
      <c r="V440" s="12">
        <f t="shared" si="48"/>
        <v>0.0454545454545455</v>
      </c>
      <c r="W440" s="17">
        <f>COUNTIFS(源数据[日期],源数据[[#This Row],[日期]],源数据[账号id],源数据[[#This Row],[账号id]])</f>
        <v>1</v>
      </c>
      <c r="X440" s="15">
        <f>IFERROR(源数据[[#This Row],[点击量]]/源数据[[#This Row],[展示量]],"")</f>
        <v>0.0454545454545455</v>
      </c>
      <c r="Y440" s="16">
        <f>IFERROR(源数据[[#This Row],[播放量]]/源数据[[#This Row],[展示量]],"")</f>
        <v>0.0454545454545455</v>
      </c>
      <c r="Z440" s="16">
        <f>IFERROR(源数据[[#This Row],[三连投放总消耗(毫分)]]/源数据[[#This Row],[播放量]],"")</f>
        <v>0.1247</v>
      </c>
      <c r="AA44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41" s="2" customFormat="1" spans="1:27">
      <c r="A441" s="7">
        <v>46204</v>
      </c>
      <c r="B441" s="8" t="s">
        <v>977</v>
      </c>
      <c r="C441" s="8" t="s">
        <v>978</v>
      </c>
      <c r="D441" s="8" t="s">
        <v>91</v>
      </c>
      <c r="E441" s="8" t="s">
        <v>92</v>
      </c>
      <c r="F441" s="8" t="s">
        <v>110</v>
      </c>
      <c r="G441" s="9">
        <v>24</v>
      </c>
      <c r="H441" s="9">
        <v>0</v>
      </c>
      <c r="I441" s="10">
        <v>0.12263</v>
      </c>
      <c r="J441" s="11">
        <v>0.11</v>
      </c>
      <c r="K441" s="12">
        <f t="shared" si="42"/>
        <v>0</v>
      </c>
      <c r="L441" s="13">
        <f t="shared" si="43"/>
        <v>5.10958333333333</v>
      </c>
      <c r="M441" s="13">
        <f t="shared" si="44"/>
        <v>0</v>
      </c>
      <c r="N441" s="11">
        <v>0</v>
      </c>
      <c r="O441" s="11">
        <v>0</v>
      </c>
      <c r="P441" s="11">
        <v>0</v>
      </c>
      <c r="Q441" s="13">
        <f t="shared" si="45"/>
        <v>0</v>
      </c>
      <c r="R441" s="11">
        <v>0</v>
      </c>
      <c r="S441" s="13">
        <f t="shared" si="46"/>
        <v>0</v>
      </c>
      <c r="T441" s="9">
        <v>0</v>
      </c>
      <c r="U441" s="13">
        <f t="shared" si="47"/>
        <v>0</v>
      </c>
      <c r="V441" s="12">
        <f t="shared" si="48"/>
        <v>0</v>
      </c>
      <c r="W441" s="17">
        <f>COUNTIFS(源数据[日期],源数据[[#This Row],[日期]],源数据[账号id],源数据[[#This Row],[账号id]])</f>
        <v>1</v>
      </c>
      <c r="X441" s="15">
        <f>IFERROR(源数据[[#This Row],[点击量]]/源数据[[#This Row],[展示量]],"")</f>
        <v>0</v>
      </c>
      <c r="Y441" s="16">
        <f>IFERROR(源数据[[#This Row],[播放量]]/源数据[[#This Row],[展示量]],"")</f>
        <v>0</v>
      </c>
      <c r="Z441" s="16" t="str">
        <f>IFERROR(源数据[[#This Row],[三连投放总消耗(毫分)]]/源数据[[#This Row],[播放量]],"")</f>
        <v/>
      </c>
      <c r="AA44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42" s="2" customFormat="1" spans="1:27">
      <c r="A442" s="7">
        <v>46204</v>
      </c>
      <c r="B442" s="8" t="s">
        <v>979</v>
      </c>
      <c r="C442" s="8" t="s">
        <v>980</v>
      </c>
      <c r="D442" s="8" t="s">
        <v>91</v>
      </c>
      <c r="E442" s="8" t="s">
        <v>92</v>
      </c>
      <c r="F442" s="8" t="s">
        <v>110</v>
      </c>
      <c r="G442" s="9">
        <v>38</v>
      </c>
      <c r="H442" s="9">
        <v>2</v>
      </c>
      <c r="I442" s="10">
        <v>0.1226</v>
      </c>
      <c r="J442" s="11">
        <v>0.1</v>
      </c>
      <c r="K442" s="12">
        <f t="shared" si="42"/>
        <v>0.0526315789473684</v>
      </c>
      <c r="L442" s="13">
        <f t="shared" si="43"/>
        <v>3.22631578947368</v>
      </c>
      <c r="M442" s="13">
        <f t="shared" si="44"/>
        <v>0.0613</v>
      </c>
      <c r="N442" s="11">
        <v>0</v>
      </c>
      <c r="O442" s="11">
        <v>0</v>
      </c>
      <c r="P442" s="11">
        <v>0</v>
      </c>
      <c r="Q442" s="13">
        <f t="shared" si="45"/>
        <v>0</v>
      </c>
      <c r="R442" s="11">
        <v>0</v>
      </c>
      <c r="S442" s="13">
        <f t="shared" si="46"/>
        <v>0</v>
      </c>
      <c r="T442" s="9">
        <v>2</v>
      </c>
      <c r="U442" s="13">
        <f t="shared" si="47"/>
        <v>16.3132137030995</v>
      </c>
      <c r="V442" s="12">
        <f t="shared" si="48"/>
        <v>0.0526315789473684</v>
      </c>
      <c r="W442" s="17">
        <f>COUNTIFS(源数据[日期],源数据[[#This Row],[日期]],源数据[账号id],源数据[[#This Row],[账号id]])</f>
        <v>1</v>
      </c>
      <c r="X442" s="15">
        <f>IFERROR(源数据[[#This Row],[点击量]]/源数据[[#This Row],[展示量]],"")</f>
        <v>0.0526315789473684</v>
      </c>
      <c r="Y442" s="16">
        <f>IFERROR(源数据[[#This Row],[播放量]]/源数据[[#This Row],[展示量]],"")</f>
        <v>0.0526315789473684</v>
      </c>
      <c r="Z442" s="16">
        <f>IFERROR(源数据[[#This Row],[三连投放总消耗(毫分)]]/源数据[[#This Row],[播放量]],"")</f>
        <v>0.0613</v>
      </c>
      <c r="AA44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43" s="2" customFormat="1" spans="1:27">
      <c r="A443" s="7">
        <v>46204</v>
      </c>
      <c r="B443" s="8" t="s">
        <v>981</v>
      </c>
      <c r="C443" s="8" t="s">
        <v>982</v>
      </c>
      <c r="D443" s="8" t="s">
        <v>91</v>
      </c>
      <c r="E443" s="8" t="s">
        <v>92</v>
      </c>
      <c r="F443" s="8" t="s">
        <v>748</v>
      </c>
      <c r="G443" s="9">
        <v>130</v>
      </c>
      <c r="H443" s="9">
        <v>0</v>
      </c>
      <c r="I443" s="10">
        <v>0.11987</v>
      </c>
      <c r="J443" s="11">
        <v>0.1</v>
      </c>
      <c r="K443" s="12">
        <f t="shared" si="42"/>
        <v>0</v>
      </c>
      <c r="L443" s="13">
        <f t="shared" si="43"/>
        <v>0.922076923076923</v>
      </c>
      <c r="M443" s="13">
        <f t="shared" si="44"/>
        <v>0</v>
      </c>
      <c r="N443" s="11">
        <v>0</v>
      </c>
      <c r="O443" s="11">
        <v>0</v>
      </c>
      <c r="P443" s="11">
        <v>0</v>
      </c>
      <c r="Q443" s="13">
        <f t="shared" si="45"/>
        <v>0</v>
      </c>
      <c r="R443" s="11">
        <v>0</v>
      </c>
      <c r="S443" s="13">
        <f t="shared" si="46"/>
        <v>0</v>
      </c>
      <c r="T443" s="9">
        <v>1</v>
      </c>
      <c r="U443" s="13">
        <f t="shared" si="47"/>
        <v>8.34237090181029</v>
      </c>
      <c r="V443" s="12">
        <f t="shared" si="48"/>
        <v>0.00769230769230769</v>
      </c>
      <c r="W443" s="17">
        <f>COUNTIFS(源数据[日期],源数据[[#This Row],[日期]],源数据[账号id],源数据[[#This Row],[账号id]])</f>
        <v>1</v>
      </c>
      <c r="X443" s="15">
        <f>IFERROR(源数据[[#This Row],[点击量]]/源数据[[#This Row],[展示量]],"")</f>
        <v>0</v>
      </c>
      <c r="Y443" s="16">
        <f>IFERROR(源数据[[#This Row],[播放量]]/源数据[[#This Row],[展示量]],"")</f>
        <v>0.00769230769230769</v>
      </c>
      <c r="Z443" s="16">
        <f>IFERROR(源数据[[#This Row],[三连投放总消耗(毫分)]]/源数据[[#This Row],[播放量]],"")</f>
        <v>0.11987</v>
      </c>
      <c r="AA44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44" s="2" customFormat="1" spans="1:27">
      <c r="A444" s="7">
        <v>46204</v>
      </c>
      <c r="B444" s="8" t="s">
        <v>983</v>
      </c>
      <c r="C444" s="8" t="s">
        <v>984</v>
      </c>
      <c r="D444" s="8" t="s">
        <v>91</v>
      </c>
      <c r="E444" s="8" t="s">
        <v>92</v>
      </c>
      <c r="F444" s="8" t="s">
        <v>110</v>
      </c>
      <c r="G444" s="9">
        <v>35</v>
      </c>
      <c r="H444" s="9">
        <v>1</v>
      </c>
      <c r="I444" s="10">
        <v>0.11701</v>
      </c>
      <c r="J444" s="11">
        <v>0.09</v>
      </c>
      <c r="K444" s="12">
        <f t="shared" si="42"/>
        <v>0.0285714285714286</v>
      </c>
      <c r="L444" s="13">
        <f t="shared" si="43"/>
        <v>3.34314285714286</v>
      </c>
      <c r="M444" s="13">
        <f t="shared" si="44"/>
        <v>0.11701</v>
      </c>
      <c r="N444" s="11">
        <v>0</v>
      </c>
      <c r="O444" s="11">
        <v>0</v>
      </c>
      <c r="P444" s="11">
        <v>0</v>
      </c>
      <c r="Q444" s="13">
        <f t="shared" si="45"/>
        <v>0</v>
      </c>
      <c r="R444" s="11">
        <v>0</v>
      </c>
      <c r="S444" s="13">
        <f t="shared" si="46"/>
        <v>0</v>
      </c>
      <c r="T444" s="9">
        <v>1</v>
      </c>
      <c r="U444" s="13">
        <f t="shared" si="47"/>
        <v>8.54627809588924</v>
      </c>
      <c r="V444" s="12">
        <f t="shared" si="48"/>
        <v>0.0285714285714286</v>
      </c>
      <c r="W444" s="17">
        <f>COUNTIFS(源数据[日期],源数据[[#This Row],[日期]],源数据[账号id],源数据[[#This Row],[账号id]])</f>
        <v>1</v>
      </c>
      <c r="X444" s="15">
        <f>IFERROR(源数据[[#This Row],[点击量]]/源数据[[#This Row],[展示量]],"")</f>
        <v>0.0285714285714286</v>
      </c>
      <c r="Y444" s="16">
        <f>IFERROR(源数据[[#This Row],[播放量]]/源数据[[#This Row],[展示量]],"")</f>
        <v>0.0285714285714286</v>
      </c>
      <c r="Z444" s="16">
        <f>IFERROR(源数据[[#This Row],[三连投放总消耗(毫分)]]/源数据[[#This Row],[播放量]],"")</f>
        <v>0.11701</v>
      </c>
      <c r="AA44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45" s="2" customFormat="1" spans="1:27">
      <c r="A445" s="7">
        <v>46204</v>
      </c>
      <c r="B445" s="8" t="s">
        <v>985</v>
      </c>
      <c r="C445" s="8" t="s">
        <v>986</v>
      </c>
      <c r="D445" s="8" t="s">
        <v>91</v>
      </c>
      <c r="E445" s="8" t="s">
        <v>92</v>
      </c>
      <c r="F445" s="8" t="s">
        <v>748</v>
      </c>
      <c r="G445" s="9">
        <v>87</v>
      </c>
      <c r="H445" s="9">
        <v>1</v>
      </c>
      <c r="I445" s="10">
        <v>0.11215</v>
      </c>
      <c r="J445" s="11">
        <v>0.07</v>
      </c>
      <c r="K445" s="12">
        <f t="shared" si="42"/>
        <v>0.0114942528735632</v>
      </c>
      <c r="L445" s="13">
        <f t="shared" si="43"/>
        <v>1.28908045977011</v>
      </c>
      <c r="M445" s="13">
        <f t="shared" si="44"/>
        <v>0.11215</v>
      </c>
      <c r="N445" s="11">
        <v>0</v>
      </c>
      <c r="O445" s="11">
        <v>0</v>
      </c>
      <c r="P445" s="11">
        <v>0</v>
      </c>
      <c r="Q445" s="13">
        <f t="shared" si="45"/>
        <v>0</v>
      </c>
      <c r="R445" s="11">
        <v>0</v>
      </c>
      <c r="S445" s="13">
        <f t="shared" si="46"/>
        <v>0</v>
      </c>
      <c r="T445" s="9">
        <v>0</v>
      </c>
      <c r="U445" s="13">
        <f t="shared" si="47"/>
        <v>0</v>
      </c>
      <c r="V445" s="12">
        <f t="shared" si="48"/>
        <v>0</v>
      </c>
      <c r="W445" s="17">
        <f>COUNTIFS(源数据[日期],源数据[[#This Row],[日期]],源数据[账号id],源数据[[#This Row],[账号id]])</f>
        <v>1</v>
      </c>
      <c r="X445" s="15">
        <f>IFERROR(源数据[[#This Row],[点击量]]/源数据[[#This Row],[展示量]],"")</f>
        <v>0.0114942528735632</v>
      </c>
      <c r="Y445" s="16">
        <f>IFERROR(源数据[[#This Row],[播放量]]/源数据[[#This Row],[展示量]],"")</f>
        <v>0</v>
      </c>
      <c r="Z445" s="16" t="str">
        <f>IFERROR(源数据[[#This Row],[三连投放总消耗(毫分)]]/源数据[[#This Row],[播放量]],"")</f>
        <v/>
      </c>
      <c r="AA44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46" s="2" customFormat="1" spans="1:27">
      <c r="A446" s="7">
        <v>46204</v>
      </c>
      <c r="B446" s="8" t="s">
        <v>987</v>
      </c>
      <c r="C446" s="8" t="s">
        <v>988</v>
      </c>
      <c r="D446" s="8" t="s">
        <v>91</v>
      </c>
      <c r="E446" s="8" t="s">
        <v>92</v>
      </c>
      <c r="F446" s="8" t="s">
        <v>110</v>
      </c>
      <c r="G446" s="9">
        <v>26</v>
      </c>
      <c r="H446" s="9">
        <v>1</v>
      </c>
      <c r="I446" s="10">
        <v>0.11001</v>
      </c>
      <c r="J446" s="11">
        <v>0.09</v>
      </c>
      <c r="K446" s="12">
        <f t="shared" si="42"/>
        <v>0.0384615384615385</v>
      </c>
      <c r="L446" s="13">
        <f t="shared" si="43"/>
        <v>4.23115384615385</v>
      </c>
      <c r="M446" s="13">
        <f t="shared" si="44"/>
        <v>0.11001</v>
      </c>
      <c r="N446" s="11">
        <v>0</v>
      </c>
      <c r="O446" s="11">
        <v>0</v>
      </c>
      <c r="P446" s="11">
        <v>0</v>
      </c>
      <c r="Q446" s="13">
        <f t="shared" si="45"/>
        <v>0</v>
      </c>
      <c r="R446" s="11">
        <v>0</v>
      </c>
      <c r="S446" s="13">
        <f t="shared" si="46"/>
        <v>0</v>
      </c>
      <c r="T446" s="9">
        <v>1</v>
      </c>
      <c r="U446" s="13">
        <f t="shared" si="47"/>
        <v>9.09008271975275</v>
      </c>
      <c r="V446" s="12">
        <f t="shared" si="48"/>
        <v>0.0384615384615385</v>
      </c>
      <c r="W446" s="17">
        <f>COUNTIFS(源数据[日期],源数据[[#This Row],[日期]],源数据[账号id],源数据[[#This Row],[账号id]])</f>
        <v>1</v>
      </c>
      <c r="X446" s="15">
        <f>IFERROR(源数据[[#This Row],[点击量]]/源数据[[#This Row],[展示量]],"")</f>
        <v>0.0384615384615385</v>
      </c>
      <c r="Y446" s="16">
        <f>IFERROR(源数据[[#This Row],[播放量]]/源数据[[#This Row],[展示量]],"")</f>
        <v>0.0384615384615385</v>
      </c>
      <c r="Z446" s="16">
        <f>IFERROR(源数据[[#This Row],[三连投放总消耗(毫分)]]/源数据[[#This Row],[播放量]],"")</f>
        <v>0.11001</v>
      </c>
      <c r="AA44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47" s="2" customFormat="1" spans="1:27">
      <c r="A447" s="7">
        <v>46204</v>
      </c>
      <c r="B447" s="8" t="s">
        <v>989</v>
      </c>
      <c r="C447" s="8" t="s">
        <v>990</v>
      </c>
      <c r="D447" s="8" t="s">
        <v>91</v>
      </c>
      <c r="E447" s="8" t="s">
        <v>92</v>
      </c>
      <c r="F447" s="8" t="s">
        <v>115</v>
      </c>
      <c r="G447" s="9">
        <v>29</v>
      </c>
      <c r="H447" s="9">
        <v>9</v>
      </c>
      <c r="I447" s="10">
        <v>0.10973</v>
      </c>
      <c r="J447" s="11">
        <v>0.1</v>
      </c>
      <c r="K447" s="12">
        <f t="shared" si="42"/>
        <v>0.310344827586207</v>
      </c>
      <c r="L447" s="13">
        <f t="shared" si="43"/>
        <v>3.78379310344828</v>
      </c>
      <c r="M447" s="13">
        <f t="shared" si="44"/>
        <v>0.0121922222222222</v>
      </c>
      <c r="N447" s="11">
        <v>0</v>
      </c>
      <c r="O447" s="11">
        <v>0</v>
      </c>
      <c r="P447" s="11">
        <v>0</v>
      </c>
      <c r="Q447" s="13">
        <f t="shared" si="45"/>
        <v>0</v>
      </c>
      <c r="R447" s="11">
        <v>0</v>
      </c>
      <c r="S447" s="13">
        <f t="shared" si="46"/>
        <v>0</v>
      </c>
      <c r="T447" s="9">
        <v>0</v>
      </c>
      <c r="U447" s="13">
        <f t="shared" si="47"/>
        <v>0</v>
      </c>
      <c r="V447" s="12">
        <f t="shared" si="48"/>
        <v>0</v>
      </c>
      <c r="W447" s="17">
        <f>COUNTIFS(源数据[日期],源数据[[#This Row],[日期]],源数据[账号id],源数据[[#This Row],[账号id]])</f>
        <v>1</v>
      </c>
      <c r="X447" s="15">
        <f>IFERROR(源数据[[#This Row],[点击量]]/源数据[[#This Row],[展示量]],"")</f>
        <v>0.310344827586207</v>
      </c>
      <c r="Y447" s="16">
        <f>IFERROR(源数据[[#This Row],[播放量]]/源数据[[#This Row],[展示量]],"")</f>
        <v>0</v>
      </c>
      <c r="Z447" s="16" t="str">
        <f>IFERROR(源数据[[#This Row],[三连投放总消耗(毫分)]]/源数据[[#This Row],[播放量]],"")</f>
        <v/>
      </c>
      <c r="AA44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48" s="2" customFormat="1" spans="1:27">
      <c r="A448" s="7">
        <v>46204</v>
      </c>
      <c r="B448" s="8" t="s">
        <v>991</v>
      </c>
      <c r="C448" s="8" t="s">
        <v>992</v>
      </c>
      <c r="D448" s="8" t="s">
        <v>91</v>
      </c>
      <c r="E448" s="8" t="s">
        <v>92</v>
      </c>
      <c r="F448" s="8" t="s">
        <v>110</v>
      </c>
      <c r="G448" s="9">
        <v>32</v>
      </c>
      <c r="H448" s="9">
        <v>1</v>
      </c>
      <c r="I448" s="10">
        <v>0.10905</v>
      </c>
      <c r="J448" s="11">
        <v>0.08</v>
      </c>
      <c r="K448" s="12">
        <f t="shared" si="42"/>
        <v>0.03125</v>
      </c>
      <c r="L448" s="13">
        <f t="shared" si="43"/>
        <v>3.4078125</v>
      </c>
      <c r="M448" s="13">
        <f t="shared" si="44"/>
        <v>0.10905</v>
      </c>
      <c r="N448" s="11">
        <v>0</v>
      </c>
      <c r="O448" s="11">
        <v>0</v>
      </c>
      <c r="P448" s="11">
        <v>0.15</v>
      </c>
      <c r="Q448" s="13">
        <f t="shared" si="45"/>
        <v>1.37551581843191</v>
      </c>
      <c r="R448" s="11">
        <v>0.15</v>
      </c>
      <c r="S448" s="13">
        <f t="shared" si="46"/>
        <v>1.37551581843191</v>
      </c>
      <c r="T448" s="9">
        <v>1</v>
      </c>
      <c r="U448" s="13">
        <f t="shared" si="47"/>
        <v>9.17010545621275</v>
      </c>
      <c r="V448" s="12">
        <f t="shared" si="48"/>
        <v>0.03125</v>
      </c>
      <c r="W448" s="17">
        <f>COUNTIFS(源数据[日期],源数据[[#This Row],[日期]],源数据[账号id],源数据[[#This Row],[账号id]])</f>
        <v>1</v>
      </c>
      <c r="X448" s="15">
        <f>IFERROR(源数据[[#This Row],[点击量]]/源数据[[#This Row],[展示量]],"")</f>
        <v>0.03125</v>
      </c>
      <c r="Y448" s="16">
        <f>IFERROR(源数据[[#This Row],[播放量]]/源数据[[#This Row],[展示量]],"")</f>
        <v>0.03125</v>
      </c>
      <c r="Z448" s="16">
        <f>IFERROR(源数据[[#This Row],[三连投放总消耗(毫分)]]/源数据[[#This Row],[播放量]],"")</f>
        <v>0.10905</v>
      </c>
      <c r="AA44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49" s="2" customFormat="1" spans="1:27">
      <c r="A449" s="7">
        <v>46204</v>
      </c>
      <c r="B449" s="8" t="s">
        <v>993</v>
      </c>
      <c r="C449" s="8" t="s">
        <v>994</v>
      </c>
      <c r="D449" s="8" t="s">
        <v>91</v>
      </c>
      <c r="E449" s="8" t="s">
        <v>92</v>
      </c>
      <c r="F449" s="8" t="s">
        <v>110</v>
      </c>
      <c r="G449" s="9">
        <v>31</v>
      </c>
      <c r="H449" s="9">
        <v>0</v>
      </c>
      <c r="I449" s="10">
        <v>0.10817</v>
      </c>
      <c r="J449" s="11">
        <v>0.09</v>
      </c>
      <c r="K449" s="12">
        <f t="shared" si="42"/>
        <v>0</v>
      </c>
      <c r="L449" s="13">
        <f t="shared" si="43"/>
        <v>3.48935483870968</v>
      </c>
      <c r="M449" s="13">
        <f t="shared" si="44"/>
        <v>0</v>
      </c>
      <c r="N449" s="11">
        <v>0</v>
      </c>
      <c r="O449" s="11">
        <v>0</v>
      </c>
      <c r="P449" s="11">
        <v>0</v>
      </c>
      <c r="Q449" s="13">
        <f t="shared" si="45"/>
        <v>0</v>
      </c>
      <c r="R449" s="11">
        <v>0</v>
      </c>
      <c r="S449" s="13">
        <f t="shared" si="46"/>
        <v>0</v>
      </c>
      <c r="T449" s="9">
        <v>0</v>
      </c>
      <c r="U449" s="13">
        <f t="shared" si="47"/>
        <v>0</v>
      </c>
      <c r="V449" s="12">
        <f t="shared" si="48"/>
        <v>0</v>
      </c>
      <c r="W449" s="17">
        <f>COUNTIFS(源数据[日期],源数据[[#This Row],[日期]],源数据[账号id],源数据[[#This Row],[账号id]])</f>
        <v>1</v>
      </c>
      <c r="X449" s="15">
        <f>IFERROR(源数据[[#This Row],[点击量]]/源数据[[#This Row],[展示量]],"")</f>
        <v>0</v>
      </c>
      <c r="Y449" s="16">
        <f>IFERROR(源数据[[#This Row],[播放量]]/源数据[[#This Row],[展示量]],"")</f>
        <v>0</v>
      </c>
      <c r="Z449" s="16" t="str">
        <f>IFERROR(源数据[[#This Row],[三连投放总消耗(毫分)]]/源数据[[#This Row],[播放量]],"")</f>
        <v/>
      </c>
      <c r="AA44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50" s="2" customFormat="1" spans="1:27">
      <c r="A450" s="7">
        <v>46204</v>
      </c>
      <c r="B450" s="8" t="s">
        <v>995</v>
      </c>
      <c r="C450" s="8" t="s">
        <v>996</v>
      </c>
      <c r="D450" s="8" t="s">
        <v>91</v>
      </c>
      <c r="E450" s="8" t="s">
        <v>92</v>
      </c>
      <c r="F450" s="8" t="s">
        <v>748</v>
      </c>
      <c r="G450" s="9">
        <v>79</v>
      </c>
      <c r="H450" s="9">
        <v>1</v>
      </c>
      <c r="I450" s="10">
        <v>0.10791</v>
      </c>
      <c r="J450" s="11">
        <v>0.09</v>
      </c>
      <c r="K450" s="12">
        <f t="shared" ref="K450:K513" si="49">IF(G450=0,0,H450/G450)</f>
        <v>0.0126582278481013</v>
      </c>
      <c r="L450" s="13">
        <f t="shared" ref="L450:L513" si="50">IF(G450=0,0,I450/G450*1000)</f>
        <v>1.36594936708861</v>
      </c>
      <c r="M450" s="13">
        <f t="shared" ref="M450:M513" si="51">IF(H450=0,0,I450/H450)</f>
        <v>0.10791</v>
      </c>
      <c r="N450" s="11">
        <v>0</v>
      </c>
      <c r="O450" s="11">
        <v>0</v>
      </c>
      <c r="P450" s="11">
        <v>0</v>
      </c>
      <c r="Q450" s="13">
        <f t="shared" ref="Q450:Q513" si="52">IF(I450=0,0,P450/I450)</f>
        <v>0</v>
      </c>
      <c r="R450" s="11">
        <v>0</v>
      </c>
      <c r="S450" s="13">
        <f t="shared" ref="S450:S513" si="53">IF(I450=0,0,R450/I450)</f>
        <v>0</v>
      </c>
      <c r="T450" s="9">
        <v>1</v>
      </c>
      <c r="U450" s="13">
        <f t="shared" ref="U450:U513" si="54">IF(I450=0,0,T450/I450)</f>
        <v>9.26698174404596</v>
      </c>
      <c r="V450" s="12">
        <f t="shared" ref="V450:V513" si="55">IF(G450=0,0,T450/G450)</f>
        <v>0.0126582278481013</v>
      </c>
      <c r="W450" s="17">
        <f>COUNTIFS(源数据[日期],源数据[[#This Row],[日期]],源数据[账号id],源数据[[#This Row],[账号id]])</f>
        <v>1</v>
      </c>
      <c r="X450" s="15">
        <f>IFERROR(源数据[[#This Row],[点击量]]/源数据[[#This Row],[展示量]],"")</f>
        <v>0.0126582278481013</v>
      </c>
      <c r="Y450" s="16">
        <f>IFERROR(源数据[[#This Row],[播放量]]/源数据[[#This Row],[展示量]],"")</f>
        <v>0.0126582278481013</v>
      </c>
      <c r="Z450" s="16">
        <f>IFERROR(源数据[[#This Row],[三连投放总消耗(毫分)]]/源数据[[#This Row],[播放量]],"")</f>
        <v>0.10791</v>
      </c>
      <c r="AA45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51" s="2" customFormat="1" spans="1:27">
      <c r="A451" s="7">
        <v>46204</v>
      </c>
      <c r="B451" s="8" t="s">
        <v>997</v>
      </c>
      <c r="C451" s="8" t="s">
        <v>998</v>
      </c>
      <c r="D451" s="8" t="s">
        <v>91</v>
      </c>
      <c r="E451" s="8" t="s">
        <v>92</v>
      </c>
      <c r="F451" s="8" t="s">
        <v>110</v>
      </c>
      <c r="G451" s="9">
        <v>23</v>
      </c>
      <c r="H451" s="9">
        <v>1</v>
      </c>
      <c r="I451" s="10">
        <v>0.10226</v>
      </c>
      <c r="J451" s="11">
        <v>0.08</v>
      </c>
      <c r="K451" s="12">
        <f t="shared" si="49"/>
        <v>0.0434782608695652</v>
      </c>
      <c r="L451" s="13">
        <f t="shared" si="50"/>
        <v>4.44608695652174</v>
      </c>
      <c r="M451" s="13">
        <f t="shared" si="51"/>
        <v>0.10226</v>
      </c>
      <c r="N451" s="11">
        <v>0</v>
      </c>
      <c r="O451" s="11">
        <v>0</v>
      </c>
      <c r="P451" s="11">
        <v>0</v>
      </c>
      <c r="Q451" s="13">
        <f t="shared" si="52"/>
        <v>0</v>
      </c>
      <c r="R451" s="11">
        <v>0</v>
      </c>
      <c r="S451" s="13">
        <f t="shared" si="53"/>
        <v>0</v>
      </c>
      <c r="T451" s="9">
        <v>1</v>
      </c>
      <c r="U451" s="13">
        <f t="shared" si="54"/>
        <v>9.77899471934285</v>
      </c>
      <c r="V451" s="12">
        <f t="shared" si="55"/>
        <v>0.0434782608695652</v>
      </c>
      <c r="W451" s="17">
        <f>COUNTIFS(源数据[日期],源数据[[#This Row],[日期]],源数据[账号id],源数据[[#This Row],[账号id]])</f>
        <v>1</v>
      </c>
      <c r="X451" s="15">
        <f>IFERROR(源数据[[#This Row],[点击量]]/源数据[[#This Row],[展示量]],"")</f>
        <v>0.0434782608695652</v>
      </c>
      <c r="Y451" s="16">
        <f>IFERROR(源数据[[#This Row],[播放量]]/源数据[[#This Row],[展示量]],"")</f>
        <v>0.0434782608695652</v>
      </c>
      <c r="Z451" s="16">
        <f>IFERROR(源数据[[#This Row],[三连投放总消耗(毫分)]]/源数据[[#This Row],[播放量]],"")</f>
        <v>0.10226</v>
      </c>
      <c r="AA45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52" s="2" customFormat="1" spans="1:27">
      <c r="A452" s="7">
        <v>46204</v>
      </c>
      <c r="B452" s="8" t="s">
        <v>999</v>
      </c>
      <c r="C452" s="8" t="s">
        <v>1000</v>
      </c>
      <c r="D452" s="8" t="s">
        <v>91</v>
      </c>
      <c r="E452" s="8" t="s">
        <v>92</v>
      </c>
      <c r="F452" s="8" t="s">
        <v>110</v>
      </c>
      <c r="G452" s="9">
        <v>35</v>
      </c>
      <c r="H452" s="9">
        <v>2</v>
      </c>
      <c r="I452" s="10">
        <v>0.10008</v>
      </c>
      <c r="J452" s="11">
        <v>0.09</v>
      </c>
      <c r="K452" s="12">
        <f t="shared" si="49"/>
        <v>0.0571428571428571</v>
      </c>
      <c r="L452" s="13">
        <f t="shared" si="50"/>
        <v>2.85942857142857</v>
      </c>
      <c r="M452" s="13">
        <f t="shared" si="51"/>
        <v>0.05004</v>
      </c>
      <c r="N452" s="11">
        <v>0</v>
      </c>
      <c r="O452" s="11">
        <v>0</v>
      </c>
      <c r="P452" s="11">
        <v>0</v>
      </c>
      <c r="Q452" s="13">
        <f t="shared" si="52"/>
        <v>0</v>
      </c>
      <c r="R452" s="11">
        <v>0</v>
      </c>
      <c r="S452" s="13">
        <f t="shared" si="53"/>
        <v>0</v>
      </c>
      <c r="T452" s="9">
        <v>2</v>
      </c>
      <c r="U452" s="13">
        <f t="shared" si="54"/>
        <v>19.9840127897682</v>
      </c>
      <c r="V452" s="12">
        <f t="shared" si="55"/>
        <v>0.0571428571428571</v>
      </c>
      <c r="W452" s="17">
        <f>COUNTIFS(源数据[日期],源数据[[#This Row],[日期]],源数据[账号id],源数据[[#This Row],[账号id]])</f>
        <v>1</v>
      </c>
      <c r="X452" s="15">
        <f>IFERROR(源数据[[#This Row],[点击量]]/源数据[[#This Row],[展示量]],"")</f>
        <v>0.0571428571428571</v>
      </c>
      <c r="Y452" s="16">
        <f>IFERROR(源数据[[#This Row],[播放量]]/源数据[[#This Row],[展示量]],"")</f>
        <v>0.0571428571428571</v>
      </c>
      <c r="Z452" s="16">
        <f>IFERROR(源数据[[#This Row],[三连投放总消耗(毫分)]]/源数据[[#This Row],[播放量]],"")</f>
        <v>0.05004</v>
      </c>
      <c r="AA45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53" s="2" customFormat="1" spans="1:27">
      <c r="A453" s="7">
        <v>46204</v>
      </c>
      <c r="B453" s="8" t="s">
        <v>1001</v>
      </c>
      <c r="C453" s="8" t="s">
        <v>1002</v>
      </c>
      <c r="D453" s="8" t="s">
        <v>91</v>
      </c>
      <c r="E453" s="8" t="s">
        <v>92</v>
      </c>
      <c r="F453" s="8" t="s">
        <v>96</v>
      </c>
      <c r="G453" s="9">
        <v>29</v>
      </c>
      <c r="H453" s="9">
        <v>0</v>
      </c>
      <c r="I453" s="10">
        <v>0.0974</v>
      </c>
      <c r="J453" s="11">
        <v>0.1</v>
      </c>
      <c r="K453" s="12">
        <f t="shared" si="49"/>
        <v>0</v>
      </c>
      <c r="L453" s="13">
        <f t="shared" si="50"/>
        <v>3.35862068965517</v>
      </c>
      <c r="M453" s="13">
        <f t="shared" si="51"/>
        <v>0</v>
      </c>
      <c r="N453" s="11">
        <v>0</v>
      </c>
      <c r="O453" s="11">
        <v>0</v>
      </c>
      <c r="P453" s="11">
        <v>0</v>
      </c>
      <c r="Q453" s="13">
        <f t="shared" si="52"/>
        <v>0</v>
      </c>
      <c r="R453" s="11">
        <v>0</v>
      </c>
      <c r="S453" s="13">
        <f t="shared" si="53"/>
        <v>0</v>
      </c>
      <c r="T453" s="9">
        <v>4</v>
      </c>
      <c r="U453" s="13">
        <f t="shared" si="54"/>
        <v>41.0677618069815</v>
      </c>
      <c r="V453" s="12">
        <f t="shared" si="55"/>
        <v>0.137931034482759</v>
      </c>
      <c r="W453" s="17">
        <f>COUNTIFS(源数据[日期],源数据[[#This Row],[日期]],源数据[账号id],源数据[[#This Row],[账号id]])</f>
        <v>1</v>
      </c>
      <c r="X453" s="15">
        <f>IFERROR(源数据[[#This Row],[点击量]]/源数据[[#This Row],[展示量]],"")</f>
        <v>0</v>
      </c>
      <c r="Y453" s="16">
        <f>IFERROR(源数据[[#This Row],[播放量]]/源数据[[#This Row],[展示量]],"")</f>
        <v>0.137931034482759</v>
      </c>
      <c r="Z453" s="16">
        <f>IFERROR(源数据[[#This Row],[三连投放总消耗(毫分)]]/源数据[[#This Row],[播放量]],"")</f>
        <v>0.02435</v>
      </c>
      <c r="AA45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54" s="2" customFormat="1" spans="1:27">
      <c r="A454" s="7">
        <v>46204</v>
      </c>
      <c r="B454" s="8" t="s">
        <v>1003</v>
      </c>
      <c r="C454" s="8" t="s">
        <v>1004</v>
      </c>
      <c r="D454" s="8" t="s">
        <v>91</v>
      </c>
      <c r="E454" s="8" t="s">
        <v>92</v>
      </c>
      <c r="F454" s="8" t="s">
        <v>115</v>
      </c>
      <c r="G454" s="9">
        <v>7</v>
      </c>
      <c r="H454" s="9">
        <v>0</v>
      </c>
      <c r="I454" s="10">
        <v>0.0964</v>
      </c>
      <c r="J454" s="11">
        <v>0.09</v>
      </c>
      <c r="K454" s="12">
        <f t="shared" si="49"/>
        <v>0</v>
      </c>
      <c r="L454" s="13">
        <f t="shared" si="50"/>
        <v>13.7714285714286</v>
      </c>
      <c r="M454" s="13">
        <f t="shared" si="51"/>
        <v>0</v>
      </c>
      <c r="N454" s="11">
        <v>0</v>
      </c>
      <c r="O454" s="11">
        <v>0</v>
      </c>
      <c r="P454" s="11">
        <v>0</v>
      </c>
      <c r="Q454" s="13">
        <f t="shared" si="52"/>
        <v>0</v>
      </c>
      <c r="R454" s="11">
        <v>0</v>
      </c>
      <c r="S454" s="13">
        <f t="shared" si="53"/>
        <v>0</v>
      </c>
      <c r="T454" s="9">
        <v>1</v>
      </c>
      <c r="U454" s="13">
        <f t="shared" si="54"/>
        <v>10.3734439834025</v>
      </c>
      <c r="V454" s="12">
        <f t="shared" si="55"/>
        <v>0.142857142857143</v>
      </c>
      <c r="W454" s="17">
        <f>COUNTIFS(源数据[日期],源数据[[#This Row],[日期]],源数据[账号id],源数据[[#This Row],[账号id]])</f>
        <v>1</v>
      </c>
      <c r="X454" s="15">
        <f>IFERROR(源数据[[#This Row],[点击量]]/源数据[[#This Row],[展示量]],"")</f>
        <v>0</v>
      </c>
      <c r="Y454" s="16">
        <f>IFERROR(源数据[[#This Row],[播放量]]/源数据[[#This Row],[展示量]],"")</f>
        <v>0.142857142857143</v>
      </c>
      <c r="Z454" s="16">
        <f>IFERROR(源数据[[#This Row],[三连投放总消耗(毫分)]]/源数据[[#This Row],[播放量]],"")</f>
        <v>0.0964</v>
      </c>
      <c r="AA45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55" s="2" customFormat="1" spans="1:27">
      <c r="A455" s="7">
        <v>46204</v>
      </c>
      <c r="B455" s="8" t="s">
        <v>1005</v>
      </c>
      <c r="C455" s="8" t="s">
        <v>1006</v>
      </c>
      <c r="D455" s="8" t="s">
        <v>91</v>
      </c>
      <c r="E455" s="8" t="s">
        <v>92</v>
      </c>
      <c r="F455" s="8" t="s">
        <v>110</v>
      </c>
      <c r="G455" s="9">
        <v>29</v>
      </c>
      <c r="H455" s="9">
        <v>0</v>
      </c>
      <c r="I455" s="10">
        <v>0.09615</v>
      </c>
      <c r="J455" s="11">
        <v>0.07</v>
      </c>
      <c r="K455" s="12">
        <f t="shared" si="49"/>
        <v>0</v>
      </c>
      <c r="L455" s="13">
        <f t="shared" si="50"/>
        <v>3.31551724137931</v>
      </c>
      <c r="M455" s="13">
        <f t="shared" si="51"/>
        <v>0</v>
      </c>
      <c r="N455" s="11">
        <v>0</v>
      </c>
      <c r="O455" s="11">
        <v>0</v>
      </c>
      <c r="P455" s="11">
        <v>0</v>
      </c>
      <c r="Q455" s="13">
        <f t="shared" si="52"/>
        <v>0</v>
      </c>
      <c r="R455" s="11">
        <v>0</v>
      </c>
      <c r="S455" s="13">
        <f t="shared" si="53"/>
        <v>0</v>
      </c>
      <c r="T455" s="9">
        <v>1</v>
      </c>
      <c r="U455" s="13">
        <f t="shared" si="54"/>
        <v>10.4004160166407</v>
      </c>
      <c r="V455" s="12">
        <f t="shared" si="55"/>
        <v>0.0344827586206897</v>
      </c>
      <c r="W455" s="17">
        <f>COUNTIFS(源数据[日期],源数据[[#This Row],[日期]],源数据[账号id],源数据[[#This Row],[账号id]])</f>
        <v>1</v>
      </c>
      <c r="X455" s="15">
        <f>IFERROR(源数据[[#This Row],[点击量]]/源数据[[#This Row],[展示量]],"")</f>
        <v>0</v>
      </c>
      <c r="Y455" s="16">
        <f>IFERROR(源数据[[#This Row],[播放量]]/源数据[[#This Row],[展示量]],"")</f>
        <v>0.0344827586206897</v>
      </c>
      <c r="Z455" s="16">
        <f>IFERROR(源数据[[#This Row],[三连投放总消耗(毫分)]]/源数据[[#This Row],[播放量]],"")</f>
        <v>0.09615</v>
      </c>
      <c r="AA45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56" s="2" customFormat="1" spans="1:27">
      <c r="A456" s="7">
        <v>46204</v>
      </c>
      <c r="B456" s="8" t="s">
        <v>1007</v>
      </c>
      <c r="C456" s="8" t="s">
        <v>1008</v>
      </c>
      <c r="D456" s="8" t="s">
        <v>91</v>
      </c>
      <c r="E456" s="8" t="s">
        <v>92</v>
      </c>
      <c r="F456" s="8" t="s">
        <v>110</v>
      </c>
      <c r="G456" s="9">
        <v>14</v>
      </c>
      <c r="H456" s="9">
        <v>1</v>
      </c>
      <c r="I456" s="10">
        <v>0.09608</v>
      </c>
      <c r="J456" s="11">
        <v>0.08</v>
      </c>
      <c r="K456" s="12">
        <f t="shared" si="49"/>
        <v>0.0714285714285714</v>
      </c>
      <c r="L456" s="13">
        <f t="shared" si="50"/>
        <v>6.86285714285714</v>
      </c>
      <c r="M456" s="13">
        <f t="shared" si="51"/>
        <v>0.09608</v>
      </c>
      <c r="N456" s="11">
        <v>0</v>
      </c>
      <c r="O456" s="11">
        <v>0</v>
      </c>
      <c r="P456" s="11">
        <v>0</v>
      </c>
      <c r="Q456" s="13">
        <f t="shared" si="52"/>
        <v>0</v>
      </c>
      <c r="R456" s="11">
        <v>0</v>
      </c>
      <c r="S456" s="13">
        <f t="shared" si="53"/>
        <v>0</v>
      </c>
      <c r="T456" s="9">
        <v>1</v>
      </c>
      <c r="U456" s="13">
        <f t="shared" si="54"/>
        <v>10.4079933388843</v>
      </c>
      <c r="V456" s="12">
        <f t="shared" si="55"/>
        <v>0.0714285714285714</v>
      </c>
      <c r="W456" s="17">
        <f>COUNTIFS(源数据[日期],源数据[[#This Row],[日期]],源数据[账号id],源数据[[#This Row],[账号id]])</f>
        <v>1</v>
      </c>
      <c r="X456" s="15">
        <f>IFERROR(源数据[[#This Row],[点击量]]/源数据[[#This Row],[展示量]],"")</f>
        <v>0.0714285714285714</v>
      </c>
      <c r="Y456" s="16">
        <f>IFERROR(源数据[[#This Row],[播放量]]/源数据[[#This Row],[展示量]],"")</f>
        <v>0.0714285714285714</v>
      </c>
      <c r="Z456" s="16">
        <f>IFERROR(源数据[[#This Row],[三连投放总消耗(毫分)]]/源数据[[#This Row],[播放量]],"")</f>
        <v>0.09608</v>
      </c>
      <c r="AA45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57" s="2" customFormat="1" spans="1:27">
      <c r="A457" s="7">
        <v>46204</v>
      </c>
      <c r="B457" s="8" t="s">
        <v>1009</v>
      </c>
      <c r="C457" s="8" t="s">
        <v>1010</v>
      </c>
      <c r="D457" s="8" t="s">
        <v>91</v>
      </c>
      <c r="E457" s="8" t="s">
        <v>92</v>
      </c>
      <c r="F457" s="8" t="s">
        <v>110</v>
      </c>
      <c r="G457" s="9">
        <v>14</v>
      </c>
      <c r="H457" s="9">
        <v>0</v>
      </c>
      <c r="I457" s="10">
        <v>0.09408</v>
      </c>
      <c r="J457" s="11">
        <v>0.07</v>
      </c>
      <c r="K457" s="12">
        <f t="shared" si="49"/>
        <v>0</v>
      </c>
      <c r="L457" s="13">
        <f t="shared" si="50"/>
        <v>6.72</v>
      </c>
      <c r="M457" s="13">
        <f t="shared" si="51"/>
        <v>0</v>
      </c>
      <c r="N457" s="11">
        <v>0</v>
      </c>
      <c r="O457" s="11">
        <v>0</v>
      </c>
      <c r="P457" s="11">
        <v>0</v>
      </c>
      <c r="Q457" s="13">
        <f t="shared" si="52"/>
        <v>0</v>
      </c>
      <c r="R457" s="11">
        <v>0</v>
      </c>
      <c r="S457" s="13">
        <f t="shared" si="53"/>
        <v>0</v>
      </c>
      <c r="T457" s="9">
        <v>0</v>
      </c>
      <c r="U457" s="13">
        <f t="shared" si="54"/>
        <v>0</v>
      </c>
      <c r="V457" s="12">
        <f t="shared" si="55"/>
        <v>0</v>
      </c>
      <c r="W457" s="17">
        <f>COUNTIFS(源数据[日期],源数据[[#This Row],[日期]],源数据[账号id],源数据[[#This Row],[账号id]])</f>
        <v>1</v>
      </c>
      <c r="X457" s="15">
        <f>IFERROR(源数据[[#This Row],[点击量]]/源数据[[#This Row],[展示量]],"")</f>
        <v>0</v>
      </c>
      <c r="Y457" s="16">
        <f>IFERROR(源数据[[#This Row],[播放量]]/源数据[[#This Row],[展示量]],"")</f>
        <v>0</v>
      </c>
      <c r="Z457" s="16" t="str">
        <f>IFERROR(源数据[[#This Row],[三连投放总消耗(毫分)]]/源数据[[#This Row],[播放量]],"")</f>
        <v/>
      </c>
      <c r="AA45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58" s="2" customFormat="1" spans="1:27">
      <c r="A458" s="7">
        <v>46204</v>
      </c>
      <c r="B458" s="8" t="s">
        <v>1011</v>
      </c>
      <c r="C458" s="8" t="s">
        <v>1012</v>
      </c>
      <c r="D458" s="8" t="s">
        <v>91</v>
      </c>
      <c r="E458" s="8" t="s">
        <v>92</v>
      </c>
      <c r="F458" s="8" t="s">
        <v>93</v>
      </c>
      <c r="G458" s="9">
        <v>12</v>
      </c>
      <c r="H458" s="9">
        <v>7</v>
      </c>
      <c r="I458" s="10">
        <v>0.0932</v>
      </c>
      <c r="J458" s="11">
        <v>0.09</v>
      </c>
      <c r="K458" s="12">
        <f t="shared" si="49"/>
        <v>0.583333333333333</v>
      </c>
      <c r="L458" s="13">
        <f t="shared" si="50"/>
        <v>7.76666666666667</v>
      </c>
      <c r="M458" s="13">
        <f t="shared" si="51"/>
        <v>0.0133142857142857</v>
      </c>
      <c r="N458" s="11">
        <v>0</v>
      </c>
      <c r="O458" s="11">
        <v>0</v>
      </c>
      <c r="P458" s="11">
        <v>0</v>
      </c>
      <c r="Q458" s="13">
        <f t="shared" si="52"/>
        <v>0</v>
      </c>
      <c r="R458" s="11">
        <v>0</v>
      </c>
      <c r="S458" s="13">
        <f t="shared" si="53"/>
        <v>0</v>
      </c>
      <c r="T458" s="9">
        <v>0</v>
      </c>
      <c r="U458" s="13">
        <f t="shared" si="54"/>
        <v>0</v>
      </c>
      <c r="V458" s="12">
        <f t="shared" si="55"/>
        <v>0</v>
      </c>
      <c r="W458" s="17">
        <f>COUNTIFS(源数据[日期],源数据[[#This Row],[日期]],源数据[账号id],源数据[[#This Row],[账号id]])</f>
        <v>1</v>
      </c>
      <c r="X458" s="15">
        <f>IFERROR(源数据[[#This Row],[点击量]]/源数据[[#This Row],[展示量]],"")</f>
        <v>0.583333333333333</v>
      </c>
      <c r="Y458" s="16">
        <f>IFERROR(源数据[[#This Row],[播放量]]/源数据[[#This Row],[展示量]],"")</f>
        <v>0</v>
      </c>
      <c r="Z458" s="16" t="str">
        <f>IFERROR(源数据[[#This Row],[三连投放总消耗(毫分)]]/源数据[[#This Row],[播放量]],"")</f>
        <v/>
      </c>
      <c r="AA45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59" s="2" customFormat="1" spans="1:27">
      <c r="A459" s="7">
        <v>46204</v>
      </c>
      <c r="B459" s="8" t="s">
        <v>1013</v>
      </c>
      <c r="C459" s="8" t="s">
        <v>1014</v>
      </c>
      <c r="D459" s="8" t="s">
        <v>91</v>
      </c>
      <c r="E459" s="8" t="s">
        <v>92</v>
      </c>
      <c r="F459" s="8" t="s">
        <v>110</v>
      </c>
      <c r="G459" s="9">
        <v>27</v>
      </c>
      <c r="H459" s="9">
        <v>1</v>
      </c>
      <c r="I459" s="10">
        <v>0.093</v>
      </c>
      <c r="J459" s="11">
        <v>0.07</v>
      </c>
      <c r="K459" s="12">
        <f t="shared" si="49"/>
        <v>0.037037037037037</v>
      </c>
      <c r="L459" s="13">
        <f t="shared" si="50"/>
        <v>3.44444444444444</v>
      </c>
      <c r="M459" s="13">
        <f t="shared" si="51"/>
        <v>0.093</v>
      </c>
      <c r="N459" s="11">
        <v>0</v>
      </c>
      <c r="O459" s="11">
        <v>0</v>
      </c>
      <c r="P459" s="11">
        <v>0</v>
      </c>
      <c r="Q459" s="13">
        <f t="shared" si="52"/>
        <v>0</v>
      </c>
      <c r="R459" s="11">
        <v>0</v>
      </c>
      <c r="S459" s="13">
        <f t="shared" si="53"/>
        <v>0</v>
      </c>
      <c r="T459" s="9">
        <v>1</v>
      </c>
      <c r="U459" s="13">
        <f t="shared" si="54"/>
        <v>10.752688172043</v>
      </c>
      <c r="V459" s="12">
        <f t="shared" si="55"/>
        <v>0.037037037037037</v>
      </c>
      <c r="W459" s="17">
        <f>COUNTIFS(源数据[日期],源数据[[#This Row],[日期]],源数据[账号id],源数据[[#This Row],[账号id]])</f>
        <v>1</v>
      </c>
      <c r="X459" s="15">
        <f>IFERROR(源数据[[#This Row],[点击量]]/源数据[[#This Row],[展示量]],"")</f>
        <v>0.037037037037037</v>
      </c>
      <c r="Y459" s="16">
        <f>IFERROR(源数据[[#This Row],[播放量]]/源数据[[#This Row],[展示量]],"")</f>
        <v>0.037037037037037</v>
      </c>
      <c r="Z459" s="16">
        <f>IFERROR(源数据[[#This Row],[三连投放总消耗(毫分)]]/源数据[[#This Row],[播放量]],"")</f>
        <v>0.093</v>
      </c>
      <c r="AA45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60" s="2" customFormat="1" spans="1:27">
      <c r="A460" s="7">
        <v>46204</v>
      </c>
      <c r="B460" s="8" t="s">
        <v>1015</v>
      </c>
      <c r="C460" s="8" t="s">
        <v>1016</v>
      </c>
      <c r="D460" s="8" t="s">
        <v>91</v>
      </c>
      <c r="E460" s="8" t="s">
        <v>92</v>
      </c>
      <c r="F460" s="8" t="s">
        <v>110</v>
      </c>
      <c r="G460" s="9">
        <v>27</v>
      </c>
      <c r="H460" s="9">
        <v>1</v>
      </c>
      <c r="I460" s="10">
        <v>0.08986</v>
      </c>
      <c r="J460" s="11">
        <v>0.07</v>
      </c>
      <c r="K460" s="12">
        <f t="shared" si="49"/>
        <v>0.037037037037037</v>
      </c>
      <c r="L460" s="13">
        <f t="shared" si="50"/>
        <v>3.32814814814815</v>
      </c>
      <c r="M460" s="13">
        <f t="shared" si="51"/>
        <v>0.08986</v>
      </c>
      <c r="N460" s="11">
        <v>0</v>
      </c>
      <c r="O460" s="11">
        <v>0</v>
      </c>
      <c r="P460" s="11">
        <v>0</v>
      </c>
      <c r="Q460" s="13">
        <f t="shared" si="52"/>
        <v>0</v>
      </c>
      <c r="R460" s="11">
        <v>0</v>
      </c>
      <c r="S460" s="13">
        <f t="shared" si="53"/>
        <v>0</v>
      </c>
      <c r="T460" s="9">
        <v>1</v>
      </c>
      <c r="U460" s="13">
        <f t="shared" si="54"/>
        <v>11.1284219897619</v>
      </c>
      <c r="V460" s="12">
        <f t="shared" si="55"/>
        <v>0.037037037037037</v>
      </c>
      <c r="W460" s="17">
        <f>COUNTIFS(源数据[日期],源数据[[#This Row],[日期]],源数据[账号id],源数据[[#This Row],[账号id]])</f>
        <v>1</v>
      </c>
      <c r="X460" s="15">
        <f>IFERROR(源数据[[#This Row],[点击量]]/源数据[[#This Row],[展示量]],"")</f>
        <v>0.037037037037037</v>
      </c>
      <c r="Y460" s="16">
        <f>IFERROR(源数据[[#This Row],[播放量]]/源数据[[#This Row],[展示量]],"")</f>
        <v>0.037037037037037</v>
      </c>
      <c r="Z460" s="16">
        <f>IFERROR(源数据[[#This Row],[三连投放总消耗(毫分)]]/源数据[[#This Row],[播放量]],"")</f>
        <v>0.08986</v>
      </c>
      <c r="AA46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61" s="2" customFormat="1" spans="1:27">
      <c r="A461" s="7">
        <v>46204</v>
      </c>
      <c r="B461" s="8" t="s">
        <v>1017</v>
      </c>
      <c r="C461" s="8" t="s">
        <v>1018</v>
      </c>
      <c r="D461" s="8" t="s">
        <v>91</v>
      </c>
      <c r="E461" s="8" t="s">
        <v>92</v>
      </c>
      <c r="F461" s="8" t="s">
        <v>748</v>
      </c>
      <c r="G461" s="9">
        <v>86</v>
      </c>
      <c r="H461" s="9">
        <v>1</v>
      </c>
      <c r="I461" s="10">
        <v>0.08667</v>
      </c>
      <c r="J461" s="11">
        <v>0.07</v>
      </c>
      <c r="K461" s="12">
        <f t="shared" si="49"/>
        <v>0.0116279069767442</v>
      </c>
      <c r="L461" s="13">
        <f t="shared" si="50"/>
        <v>1.00779069767442</v>
      </c>
      <c r="M461" s="13">
        <f t="shared" si="51"/>
        <v>0.08667</v>
      </c>
      <c r="N461" s="11">
        <v>0</v>
      </c>
      <c r="O461" s="11">
        <v>0</v>
      </c>
      <c r="P461" s="11">
        <v>0</v>
      </c>
      <c r="Q461" s="13">
        <f t="shared" si="52"/>
        <v>0</v>
      </c>
      <c r="R461" s="11">
        <v>0</v>
      </c>
      <c r="S461" s="13">
        <f t="shared" si="53"/>
        <v>0</v>
      </c>
      <c r="T461" s="9">
        <v>0</v>
      </c>
      <c r="U461" s="13">
        <f t="shared" si="54"/>
        <v>0</v>
      </c>
      <c r="V461" s="12">
        <f t="shared" si="55"/>
        <v>0</v>
      </c>
      <c r="W461" s="17">
        <f>COUNTIFS(源数据[日期],源数据[[#This Row],[日期]],源数据[账号id],源数据[[#This Row],[账号id]])</f>
        <v>1</v>
      </c>
      <c r="X461" s="15">
        <f>IFERROR(源数据[[#This Row],[点击量]]/源数据[[#This Row],[展示量]],"")</f>
        <v>0.0116279069767442</v>
      </c>
      <c r="Y461" s="16">
        <f>IFERROR(源数据[[#This Row],[播放量]]/源数据[[#This Row],[展示量]],"")</f>
        <v>0</v>
      </c>
      <c r="Z461" s="16" t="str">
        <f>IFERROR(源数据[[#This Row],[三连投放总消耗(毫分)]]/源数据[[#This Row],[播放量]],"")</f>
        <v/>
      </c>
      <c r="AA46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62" s="2" customFormat="1" spans="1:27">
      <c r="A462" s="7">
        <v>46204</v>
      </c>
      <c r="B462" s="8" t="s">
        <v>1019</v>
      </c>
      <c r="C462" s="8" t="s">
        <v>1020</v>
      </c>
      <c r="D462" s="8" t="s">
        <v>91</v>
      </c>
      <c r="E462" s="8" t="s">
        <v>92</v>
      </c>
      <c r="F462" s="8" t="s">
        <v>110</v>
      </c>
      <c r="G462" s="9">
        <v>30</v>
      </c>
      <c r="H462" s="9">
        <v>1</v>
      </c>
      <c r="I462" s="10">
        <v>0.08316</v>
      </c>
      <c r="J462" s="11">
        <v>0.07</v>
      </c>
      <c r="K462" s="12">
        <f t="shared" si="49"/>
        <v>0.0333333333333333</v>
      </c>
      <c r="L462" s="13">
        <f t="shared" si="50"/>
        <v>2.772</v>
      </c>
      <c r="M462" s="13">
        <f t="shared" si="51"/>
        <v>0.08316</v>
      </c>
      <c r="N462" s="11">
        <v>0</v>
      </c>
      <c r="O462" s="11">
        <v>0</v>
      </c>
      <c r="P462" s="11">
        <v>0</v>
      </c>
      <c r="Q462" s="13">
        <f t="shared" si="52"/>
        <v>0</v>
      </c>
      <c r="R462" s="11">
        <v>0</v>
      </c>
      <c r="S462" s="13">
        <f t="shared" si="53"/>
        <v>0</v>
      </c>
      <c r="T462" s="9">
        <v>1</v>
      </c>
      <c r="U462" s="13">
        <f t="shared" si="54"/>
        <v>12.025012025012</v>
      </c>
      <c r="V462" s="12">
        <f t="shared" si="55"/>
        <v>0.0333333333333333</v>
      </c>
      <c r="W462" s="17">
        <f>COUNTIFS(源数据[日期],源数据[[#This Row],[日期]],源数据[账号id],源数据[[#This Row],[账号id]])</f>
        <v>1</v>
      </c>
      <c r="X462" s="15">
        <f>IFERROR(源数据[[#This Row],[点击量]]/源数据[[#This Row],[展示量]],"")</f>
        <v>0.0333333333333333</v>
      </c>
      <c r="Y462" s="16">
        <f>IFERROR(源数据[[#This Row],[播放量]]/源数据[[#This Row],[展示量]],"")</f>
        <v>0.0333333333333333</v>
      </c>
      <c r="Z462" s="16">
        <f>IFERROR(源数据[[#This Row],[三连投放总消耗(毫分)]]/源数据[[#This Row],[播放量]],"")</f>
        <v>0.08316</v>
      </c>
      <c r="AA46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63" s="2" customFormat="1" spans="1:27">
      <c r="A463" s="7">
        <v>46204</v>
      </c>
      <c r="B463" s="8" t="s">
        <v>1021</v>
      </c>
      <c r="C463" s="8" t="s">
        <v>1022</v>
      </c>
      <c r="D463" s="8" t="s">
        <v>91</v>
      </c>
      <c r="E463" s="8" t="s">
        <v>92</v>
      </c>
      <c r="F463" s="8" t="s">
        <v>110</v>
      </c>
      <c r="G463" s="9">
        <v>19</v>
      </c>
      <c r="H463" s="9">
        <v>0</v>
      </c>
      <c r="I463" s="10">
        <v>0.07635</v>
      </c>
      <c r="J463" s="11">
        <v>0.07</v>
      </c>
      <c r="K463" s="12">
        <f t="shared" si="49"/>
        <v>0</v>
      </c>
      <c r="L463" s="13">
        <f t="shared" si="50"/>
        <v>4.01842105263158</v>
      </c>
      <c r="M463" s="13">
        <f t="shared" si="51"/>
        <v>0</v>
      </c>
      <c r="N463" s="11">
        <v>0</v>
      </c>
      <c r="O463" s="11">
        <v>0</v>
      </c>
      <c r="P463" s="11">
        <v>0</v>
      </c>
      <c r="Q463" s="13">
        <f t="shared" si="52"/>
        <v>0</v>
      </c>
      <c r="R463" s="11">
        <v>0</v>
      </c>
      <c r="S463" s="13">
        <f t="shared" si="53"/>
        <v>0</v>
      </c>
      <c r="T463" s="9">
        <v>0</v>
      </c>
      <c r="U463" s="13">
        <f t="shared" si="54"/>
        <v>0</v>
      </c>
      <c r="V463" s="12">
        <f t="shared" si="55"/>
        <v>0</v>
      </c>
      <c r="W463" s="17">
        <f>COUNTIFS(源数据[日期],源数据[[#This Row],[日期]],源数据[账号id],源数据[[#This Row],[账号id]])</f>
        <v>1</v>
      </c>
      <c r="X463" s="15">
        <f>IFERROR(源数据[[#This Row],[点击量]]/源数据[[#This Row],[展示量]],"")</f>
        <v>0</v>
      </c>
      <c r="Y463" s="16">
        <f>IFERROR(源数据[[#This Row],[播放量]]/源数据[[#This Row],[展示量]],"")</f>
        <v>0</v>
      </c>
      <c r="Z463" s="16" t="str">
        <f>IFERROR(源数据[[#This Row],[三连投放总消耗(毫分)]]/源数据[[#This Row],[播放量]],"")</f>
        <v/>
      </c>
      <c r="AA46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64" s="2" customFormat="1" spans="1:27">
      <c r="A464" s="7">
        <v>46204</v>
      </c>
      <c r="B464" s="8" t="s">
        <v>1023</v>
      </c>
      <c r="C464" s="8" t="s">
        <v>1024</v>
      </c>
      <c r="D464" s="8" t="s">
        <v>91</v>
      </c>
      <c r="E464" s="8" t="s">
        <v>92</v>
      </c>
      <c r="F464" s="8" t="s">
        <v>110</v>
      </c>
      <c r="G464" s="9">
        <v>12</v>
      </c>
      <c r="H464" s="9">
        <v>1</v>
      </c>
      <c r="I464" s="10">
        <v>0.07544</v>
      </c>
      <c r="J464" s="11">
        <v>0.07</v>
      </c>
      <c r="K464" s="12">
        <f t="shared" si="49"/>
        <v>0.0833333333333333</v>
      </c>
      <c r="L464" s="13">
        <f t="shared" si="50"/>
        <v>6.28666666666667</v>
      </c>
      <c r="M464" s="13">
        <f t="shared" si="51"/>
        <v>0.07544</v>
      </c>
      <c r="N464" s="11">
        <v>0</v>
      </c>
      <c r="O464" s="11">
        <v>0</v>
      </c>
      <c r="P464" s="11">
        <v>0</v>
      </c>
      <c r="Q464" s="13">
        <f t="shared" si="52"/>
        <v>0</v>
      </c>
      <c r="R464" s="11">
        <v>0</v>
      </c>
      <c r="S464" s="13">
        <f t="shared" si="53"/>
        <v>0</v>
      </c>
      <c r="T464" s="9">
        <v>1</v>
      </c>
      <c r="U464" s="13">
        <f t="shared" si="54"/>
        <v>13.2555673382821</v>
      </c>
      <c r="V464" s="12">
        <f t="shared" si="55"/>
        <v>0.0833333333333333</v>
      </c>
      <c r="W464" s="17">
        <f>COUNTIFS(源数据[日期],源数据[[#This Row],[日期]],源数据[账号id],源数据[[#This Row],[账号id]])</f>
        <v>1</v>
      </c>
      <c r="X464" s="15">
        <f>IFERROR(源数据[[#This Row],[点击量]]/源数据[[#This Row],[展示量]],"")</f>
        <v>0.0833333333333333</v>
      </c>
      <c r="Y464" s="16">
        <f>IFERROR(源数据[[#This Row],[播放量]]/源数据[[#This Row],[展示量]],"")</f>
        <v>0.0833333333333333</v>
      </c>
      <c r="Z464" s="16">
        <f>IFERROR(源数据[[#This Row],[三连投放总消耗(毫分)]]/源数据[[#This Row],[播放量]],"")</f>
        <v>0.07544</v>
      </c>
      <c r="AA46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65" s="2" customFormat="1" spans="1:27">
      <c r="A465" s="7">
        <v>46204</v>
      </c>
      <c r="B465" s="8" t="s">
        <v>1025</v>
      </c>
      <c r="C465" s="8" t="s">
        <v>1026</v>
      </c>
      <c r="D465" s="8" t="s">
        <v>91</v>
      </c>
      <c r="E465" s="8" t="s">
        <v>92</v>
      </c>
      <c r="F465" s="8" t="s">
        <v>748</v>
      </c>
      <c r="G465" s="9">
        <v>27</v>
      </c>
      <c r="H465" s="9">
        <v>1</v>
      </c>
      <c r="I465" s="10">
        <v>0.07013</v>
      </c>
      <c r="J465" s="11">
        <v>0.06</v>
      </c>
      <c r="K465" s="12">
        <f t="shared" si="49"/>
        <v>0.037037037037037</v>
      </c>
      <c r="L465" s="13">
        <f t="shared" si="50"/>
        <v>2.59740740740741</v>
      </c>
      <c r="M465" s="13">
        <f t="shared" si="51"/>
        <v>0.07013</v>
      </c>
      <c r="N465" s="11">
        <v>0</v>
      </c>
      <c r="O465" s="11">
        <v>0</v>
      </c>
      <c r="P465" s="11">
        <v>0</v>
      </c>
      <c r="Q465" s="13">
        <f t="shared" si="52"/>
        <v>0</v>
      </c>
      <c r="R465" s="11">
        <v>0</v>
      </c>
      <c r="S465" s="13">
        <f t="shared" si="53"/>
        <v>0</v>
      </c>
      <c r="T465" s="9">
        <v>1</v>
      </c>
      <c r="U465" s="13">
        <f t="shared" si="54"/>
        <v>14.2592328532725</v>
      </c>
      <c r="V465" s="12">
        <f t="shared" si="55"/>
        <v>0.037037037037037</v>
      </c>
      <c r="W465" s="17">
        <f>COUNTIFS(源数据[日期],源数据[[#This Row],[日期]],源数据[账号id],源数据[[#This Row],[账号id]])</f>
        <v>1</v>
      </c>
      <c r="X465" s="15">
        <f>IFERROR(源数据[[#This Row],[点击量]]/源数据[[#This Row],[展示量]],"")</f>
        <v>0.037037037037037</v>
      </c>
      <c r="Y465" s="16">
        <f>IFERROR(源数据[[#This Row],[播放量]]/源数据[[#This Row],[展示量]],"")</f>
        <v>0.037037037037037</v>
      </c>
      <c r="Z465" s="16">
        <f>IFERROR(源数据[[#This Row],[三连投放总消耗(毫分)]]/源数据[[#This Row],[播放量]],"")</f>
        <v>0.07013</v>
      </c>
      <c r="AA46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66" s="2" customFormat="1" spans="1:27">
      <c r="A466" s="7">
        <v>46204</v>
      </c>
      <c r="B466" s="8" t="s">
        <v>1027</v>
      </c>
      <c r="C466" s="8" t="s">
        <v>1028</v>
      </c>
      <c r="D466" s="8" t="s">
        <v>91</v>
      </c>
      <c r="E466" s="8" t="s">
        <v>92</v>
      </c>
      <c r="F466" s="8" t="s">
        <v>748</v>
      </c>
      <c r="G466" s="9">
        <v>105</v>
      </c>
      <c r="H466" s="9">
        <v>0</v>
      </c>
      <c r="I466" s="10">
        <v>0.06721</v>
      </c>
      <c r="J466" s="11">
        <v>0.06</v>
      </c>
      <c r="K466" s="12">
        <f t="shared" si="49"/>
        <v>0</v>
      </c>
      <c r="L466" s="13">
        <f t="shared" si="50"/>
        <v>0.640095238095238</v>
      </c>
      <c r="M466" s="13">
        <f t="shared" si="51"/>
        <v>0</v>
      </c>
      <c r="N466" s="11">
        <v>0</v>
      </c>
      <c r="O466" s="11">
        <v>0</v>
      </c>
      <c r="P466" s="11">
        <v>0</v>
      </c>
      <c r="Q466" s="13">
        <f t="shared" si="52"/>
        <v>0</v>
      </c>
      <c r="R466" s="11">
        <v>0</v>
      </c>
      <c r="S466" s="13">
        <f t="shared" si="53"/>
        <v>0</v>
      </c>
      <c r="T466" s="9">
        <v>1</v>
      </c>
      <c r="U466" s="13">
        <f t="shared" si="54"/>
        <v>14.8787382829936</v>
      </c>
      <c r="V466" s="12">
        <f t="shared" si="55"/>
        <v>0.00952380952380952</v>
      </c>
      <c r="W466" s="17">
        <f>COUNTIFS(源数据[日期],源数据[[#This Row],[日期]],源数据[账号id],源数据[[#This Row],[账号id]])</f>
        <v>1</v>
      </c>
      <c r="X466" s="15">
        <f>IFERROR(源数据[[#This Row],[点击量]]/源数据[[#This Row],[展示量]],"")</f>
        <v>0</v>
      </c>
      <c r="Y466" s="16">
        <f>IFERROR(源数据[[#This Row],[播放量]]/源数据[[#This Row],[展示量]],"")</f>
        <v>0.00952380952380952</v>
      </c>
      <c r="Z466" s="16">
        <f>IFERROR(源数据[[#This Row],[三连投放总消耗(毫分)]]/源数据[[#This Row],[播放量]],"")</f>
        <v>0.06721</v>
      </c>
      <c r="AA46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67" s="2" customFormat="1" spans="1:27">
      <c r="A467" s="7">
        <v>46204</v>
      </c>
      <c r="B467" s="8" t="s">
        <v>1029</v>
      </c>
      <c r="C467" s="8" t="s">
        <v>1030</v>
      </c>
      <c r="D467" s="8" t="s">
        <v>91</v>
      </c>
      <c r="E467" s="8" t="s">
        <v>92</v>
      </c>
      <c r="F467" s="8" t="s">
        <v>96</v>
      </c>
      <c r="G467" s="9">
        <v>14</v>
      </c>
      <c r="H467" s="9">
        <v>0</v>
      </c>
      <c r="I467" s="10">
        <v>0.06664</v>
      </c>
      <c r="J467" s="11">
        <v>0.06</v>
      </c>
      <c r="K467" s="12">
        <f t="shared" si="49"/>
        <v>0</v>
      </c>
      <c r="L467" s="13">
        <f t="shared" si="50"/>
        <v>4.76</v>
      </c>
      <c r="M467" s="13">
        <f t="shared" si="51"/>
        <v>0</v>
      </c>
      <c r="N467" s="11">
        <v>0</v>
      </c>
      <c r="O467" s="11">
        <v>0</v>
      </c>
      <c r="P467" s="11">
        <v>0</v>
      </c>
      <c r="Q467" s="13">
        <f t="shared" si="52"/>
        <v>0</v>
      </c>
      <c r="R467" s="11">
        <v>0</v>
      </c>
      <c r="S467" s="13">
        <f t="shared" si="53"/>
        <v>0</v>
      </c>
      <c r="T467" s="9">
        <v>1</v>
      </c>
      <c r="U467" s="13">
        <f t="shared" si="54"/>
        <v>15.0060024009604</v>
      </c>
      <c r="V467" s="12">
        <f t="shared" si="55"/>
        <v>0.0714285714285714</v>
      </c>
      <c r="W467" s="17">
        <f>COUNTIFS(源数据[日期],源数据[[#This Row],[日期]],源数据[账号id],源数据[[#This Row],[账号id]])</f>
        <v>1</v>
      </c>
      <c r="X467" s="15">
        <f>IFERROR(源数据[[#This Row],[点击量]]/源数据[[#This Row],[展示量]],"")</f>
        <v>0</v>
      </c>
      <c r="Y467" s="16">
        <f>IFERROR(源数据[[#This Row],[播放量]]/源数据[[#This Row],[展示量]],"")</f>
        <v>0.0714285714285714</v>
      </c>
      <c r="Z467" s="16">
        <f>IFERROR(源数据[[#This Row],[三连投放总消耗(毫分)]]/源数据[[#This Row],[播放量]],"")</f>
        <v>0.06664</v>
      </c>
      <c r="AA46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68" s="2" customFormat="1" spans="1:27">
      <c r="A468" s="7">
        <v>46204</v>
      </c>
      <c r="B468" s="8" t="s">
        <v>1031</v>
      </c>
      <c r="C468" s="8" t="s">
        <v>1032</v>
      </c>
      <c r="D468" s="8" t="s">
        <v>91</v>
      </c>
      <c r="E468" s="8" t="s">
        <v>92</v>
      </c>
      <c r="F468" s="8" t="s">
        <v>152</v>
      </c>
      <c r="G468" s="9">
        <v>12</v>
      </c>
      <c r="H468" s="9">
        <v>1</v>
      </c>
      <c r="I468" s="10">
        <v>0.06634</v>
      </c>
      <c r="J468" s="11">
        <v>0.06</v>
      </c>
      <c r="K468" s="12">
        <f t="shared" si="49"/>
        <v>0.0833333333333333</v>
      </c>
      <c r="L468" s="13">
        <f t="shared" si="50"/>
        <v>5.52833333333333</v>
      </c>
      <c r="M468" s="13">
        <f t="shared" si="51"/>
        <v>0.06634</v>
      </c>
      <c r="N468" s="11">
        <v>0</v>
      </c>
      <c r="O468" s="11">
        <v>0</v>
      </c>
      <c r="P468" s="11">
        <v>0</v>
      </c>
      <c r="Q468" s="13">
        <f t="shared" si="52"/>
        <v>0</v>
      </c>
      <c r="R468" s="11">
        <v>0</v>
      </c>
      <c r="S468" s="13">
        <f t="shared" si="53"/>
        <v>0</v>
      </c>
      <c r="T468" s="9">
        <v>1</v>
      </c>
      <c r="U468" s="13">
        <f t="shared" si="54"/>
        <v>15.0738619234248</v>
      </c>
      <c r="V468" s="12">
        <f t="shared" si="55"/>
        <v>0.0833333333333333</v>
      </c>
      <c r="W468" s="17">
        <f>COUNTIFS(源数据[日期],源数据[[#This Row],[日期]],源数据[账号id],源数据[[#This Row],[账号id]])</f>
        <v>1</v>
      </c>
      <c r="X468" s="15">
        <f>IFERROR(源数据[[#This Row],[点击量]]/源数据[[#This Row],[展示量]],"")</f>
        <v>0.0833333333333333</v>
      </c>
      <c r="Y468" s="16">
        <f>IFERROR(源数据[[#This Row],[播放量]]/源数据[[#This Row],[展示量]],"")</f>
        <v>0.0833333333333333</v>
      </c>
      <c r="Z468" s="16">
        <f>IFERROR(源数据[[#This Row],[三连投放总消耗(毫分)]]/源数据[[#This Row],[播放量]],"")</f>
        <v>0.06634</v>
      </c>
      <c r="AA46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69" s="2" customFormat="1" spans="1:27">
      <c r="A469" s="7">
        <v>46204</v>
      </c>
      <c r="B469" s="8" t="s">
        <v>1033</v>
      </c>
      <c r="C469" s="8" t="s">
        <v>1034</v>
      </c>
      <c r="D469" s="8" t="s">
        <v>91</v>
      </c>
      <c r="E469" s="8" t="s">
        <v>92</v>
      </c>
      <c r="F469" s="8" t="s">
        <v>110</v>
      </c>
      <c r="G469" s="9">
        <v>19</v>
      </c>
      <c r="H469" s="9">
        <v>1</v>
      </c>
      <c r="I469" s="10">
        <v>0.06129</v>
      </c>
      <c r="J469" s="11">
        <v>0.04</v>
      </c>
      <c r="K469" s="12">
        <f t="shared" si="49"/>
        <v>0.0526315789473684</v>
      </c>
      <c r="L469" s="13">
        <f t="shared" si="50"/>
        <v>3.22578947368421</v>
      </c>
      <c r="M469" s="13">
        <f t="shared" si="51"/>
        <v>0.06129</v>
      </c>
      <c r="N469" s="11">
        <v>0</v>
      </c>
      <c r="O469" s="11">
        <v>0</v>
      </c>
      <c r="P469" s="11">
        <v>0</v>
      </c>
      <c r="Q469" s="13">
        <f t="shared" si="52"/>
        <v>0</v>
      </c>
      <c r="R469" s="11">
        <v>0</v>
      </c>
      <c r="S469" s="13">
        <f t="shared" si="53"/>
        <v>0</v>
      </c>
      <c r="T469" s="9">
        <v>2</v>
      </c>
      <c r="U469" s="13">
        <f t="shared" si="54"/>
        <v>32.6317506934247</v>
      </c>
      <c r="V469" s="12">
        <f t="shared" si="55"/>
        <v>0.105263157894737</v>
      </c>
      <c r="W469" s="17">
        <f>COUNTIFS(源数据[日期],源数据[[#This Row],[日期]],源数据[账号id],源数据[[#This Row],[账号id]])</f>
        <v>1</v>
      </c>
      <c r="X469" s="15">
        <f>IFERROR(源数据[[#This Row],[点击量]]/源数据[[#This Row],[展示量]],"")</f>
        <v>0.0526315789473684</v>
      </c>
      <c r="Y469" s="16">
        <f>IFERROR(源数据[[#This Row],[播放量]]/源数据[[#This Row],[展示量]],"")</f>
        <v>0.105263157894737</v>
      </c>
      <c r="Z469" s="16">
        <f>IFERROR(源数据[[#This Row],[三连投放总消耗(毫分)]]/源数据[[#This Row],[播放量]],"")</f>
        <v>0.030645</v>
      </c>
      <c r="AA46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70" s="2" customFormat="1" spans="1:27">
      <c r="A470" s="7">
        <v>46204</v>
      </c>
      <c r="B470" s="8" t="s">
        <v>1035</v>
      </c>
      <c r="C470" s="8" t="s">
        <v>1036</v>
      </c>
      <c r="D470" s="8" t="s">
        <v>91</v>
      </c>
      <c r="E470" s="8" t="s">
        <v>92</v>
      </c>
      <c r="F470" s="8" t="s">
        <v>110</v>
      </c>
      <c r="G470" s="9">
        <v>19</v>
      </c>
      <c r="H470" s="9">
        <v>1</v>
      </c>
      <c r="I470" s="10">
        <v>0.0602</v>
      </c>
      <c r="J470" s="11">
        <v>0.04</v>
      </c>
      <c r="K470" s="12">
        <f t="shared" si="49"/>
        <v>0.0526315789473684</v>
      </c>
      <c r="L470" s="13">
        <f t="shared" si="50"/>
        <v>3.16842105263158</v>
      </c>
      <c r="M470" s="13">
        <f t="shared" si="51"/>
        <v>0.0602</v>
      </c>
      <c r="N470" s="11">
        <v>0</v>
      </c>
      <c r="O470" s="11">
        <v>0</v>
      </c>
      <c r="P470" s="11">
        <v>0</v>
      </c>
      <c r="Q470" s="13">
        <f t="shared" si="52"/>
        <v>0</v>
      </c>
      <c r="R470" s="11">
        <v>0</v>
      </c>
      <c r="S470" s="13">
        <f t="shared" si="53"/>
        <v>0</v>
      </c>
      <c r="T470" s="9">
        <v>1</v>
      </c>
      <c r="U470" s="13">
        <f t="shared" si="54"/>
        <v>16.6112956810631</v>
      </c>
      <c r="V470" s="12">
        <f t="shared" si="55"/>
        <v>0.0526315789473684</v>
      </c>
      <c r="W470" s="17">
        <f>COUNTIFS(源数据[日期],源数据[[#This Row],[日期]],源数据[账号id],源数据[[#This Row],[账号id]])</f>
        <v>1</v>
      </c>
      <c r="X470" s="15">
        <f>IFERROR(源数据[[#This Row],[点击量]]/源数据[[#This Row],[展示量]],"")</f>
        <v>0.0526315789473684</v>
      </c>
      <c r="Y470" s="16">
        <f>IFERROR(源数据[[#This Row],[播放量]]/源数据[[#This Row],[展示量]],"")</f>
        <v>0.0526315789473684</v>
      </c>
      <c r="Z470" s="16">
        <f>IFERROR(源数据[[#This Row],[三连投放总消耗(毫分)]]/源数据[[#This Row],[播放量]],"")</f>
        <v>0.0602</v>
      </c>
      <c r="AA47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71" s="2" customFormat="1" spans="1:27">
      <c r="A471" s="7">
        <v>46204</v>
      </c>
      <c r="B471" s="8" t="s">
        <v>1037</v>
      </c>
      <c r="C471" s="8" t="s">
        <v>1038</v>
      </c>
      <c r="D471" s="8" t="s">
        <v>91</v>
      </c>
      <c r="E471" s="8" t="s">
        <v>92</v>
      </c>
      <c r="F471" s="8" t="s">
        <v>748</v>
      </c>
      <c r="G471" s="9">
        <v>26</v>
      </c>
      <c r="H471" s="9">
        <v>0</v>
      </c>
      <c r="I471" s="10">
        <v>0.05827</v>
      </c>
      <c r="J471" s="11">
        <v>0.05</v>
      </c>
      <c r="K471" s="12">
        <f t="shared" si="49"/>
        <v>0</v>
      </c>
      <c r="L471" s="13">
        <f t="shared" si="50"/>
        <v>2.24115384615385</v>
      </c>
      <c r="M471" s="13">
        <f t="shared" si="51"/>
        <v>0</v>
      </c>
      <c r="N471" s="11">
        <v>0</v>
      </c>
      <c r="O471" s="11">
        <v>0</v>
      </c>
      <c r="P471" s="11">
        <v>0</v>
      </c>
      <c r="Q471" s="13">
        <f t="shared" si="52"/>
        <v>0</v>
      </c>
      <c r="R471" s="11">
        <v>0</v>
      </c>
      <c r="S471" s="13">
        <f t="shared" si="53"/>
        <v>0</v>
      </c>
      <c r="T471" s="9">
        <v>1</v>
      </c>
      <c r="U471" s="13">
        <f t="shared" si="54"/>
        <v>17.1614896172988</v>
      </c>
      <c r="V471" s="12">
        <f t="shared" si="55"/>
        <v>0.0384615384615385</v>
      </c>
      <c r="W471" s="17">
        <f>COUNTIFS(源数据[日期],源数据[[#This Row],[日期]],源数据[账号id],源数据[[#This Row],[账号id]])</f>
        <v>1</v>
      </c>
      <c r="X471" s="15">
        <f>IFERROR(源数据[[#This Row],[点击量]]/源数据[[#This Row],[展示量]],"")</f>
        <v>0</v>
      </c>
      <c r="Y471" s="16">
        <f>IFERROR(源数据[[#This Row],[播放量]]/源数据[[#This Row],[展示量]],"")</f>
        <v>0.0384615384615385</v>
      </c>
      <c r="Z471" s="16">
        <f>IFERROR(源数据[[#This Row],[三连投放总消耗(毫分)]]/源数据[[#This Row],[播放量]],"")</f>
        <v>0.05827</v>
      </c>
      <c r="AA47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72" s="2" customFormat="1" spans="1:27">
      <c r="A472" s="7">
        <v>46204</v>
      </c>
      <c r="B472" s="8" t="s">
        <v>1039</v>
      </c>
      <c r="C472" s="8" t="s">
        <v>1040</v>
      </c>
      <c r="D472" s="8" t="s">
        <v>91</v>
      </c>
      <c r="E472" s="8" t="s">
        <v>92</v>
      </c>
      <c r="F472" s="8" t="s">
        <v>110</v>
      </c>
      <c r="G472" s="9">
        <v>18</v>
      </c>
      <c r="H472" s="9">
        <v>0</v>
      </c>
      <c r="I472" s="10">
        <v>0.05594</v>
      </c>
      <c r="J472" s="11">
        <v>0.04</v>
      </c>
      <c r="K472" s="12">
        <f t="shared" si="49"/>
        <v>0</v>
      </c>
      <c r="L472" s="13">
        <f t="shared" si="50"/>
        <v>3.10777777777778</v>
      </c>
      <c r="M472" s="13">
        <f t="shared" si="51"/>
        <v>0</v>
      </c>
      <c r="N472" s="11">
        <v>0</v>
      </c>
      <c r="O472" s="11">
        <v>0</v>
      </c>
      <c r="P472" s="11">
        <v>0</v>
      </c>
      <c r="Q472" s="13">
        <f t="shared" si="52"/>
        <v>0</v>
      </c>
      <c r="R472" s="11">
        <v>0</v>
      </c>
      <c r="S472" s="13">
        <f t="shared" si="53"/>
        <v>0</v>
      </c>
      <c r="T472" s="9">
        <v>0</v>
      </c>
      <c r="U472" s="13">
        <f t="shared" si="54"/>
        <v>0</v>
      </c>
      <c r="V472" s="12">
        <f t="shared" si="55"/>
        <v>0</v>
      </c>
      <c r="W472" s="17">
        <f>COUNTIFS(源数据[日期],源数据[[#This Row],[日期]],源数据[账号id],源数据[[#This Row],[账号id]])</f>
        <v>1</v>
      </c>
      <c r="X472" s="15">
        <f>IFERROR(源数据[[#This Row],[点击量]]/源数据[[#This Row],[展示量]],"")</f>
        <v>0</v>
      </c>
      <c r="Y472" s="16">
        <f>IFERROR(源数据[[#This Row],[播放量]]/源数据[[#This Row],[展示量]],"")</f>
        <v>0</v>
      </c>
      <c r="Z472" s="16" t="str">
        <f>IFERROR(源数据[[#This Row],[三连投放总消耗(毫分)]]/源数据[[#This Row],[播放量]],"")</f>
        <v/>
      </c>
      <c r="AA47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73" s="2" customFormat="1" spans="1:27">
      <c r="A473" s="7">
        <v>46204</v>
      </c>
      <c r="B473" s="8" t="s">
        <v>1041</v>
      </c>
      <c r="C473" s="8" t="s">
        <v>1042</v>
      </c>
      <c r="D473" s="8" t="s">
        <v>91</v>
      </c>
      <c r="E473" s="8" t="s">
        <v>92</v>
      </c>
      <c r="F473" s="8" t="s">
        <v>110</v>
      </c>
      <c r="G473" s="9">
        <v>22</v>
      </c>
      <c r="H473" s="9">
        <v>0</v>
      </c>
      <c r="I473" s="10">
        <v>0.0548</v>
      </c>
      <c r="J473" s="11">
        <v>0.04</v>
      </c>
      <c r="K473" s="12">
        <f t="shared" si="49"/>
        <v>0</v>
      </c>
      <c r="L473" s="13">
        <f t="shared" si="50"/>
        <v>2.49090909090909</v>
      </c>
      <c r="M473" s="13">
        <f t="shared" si="51"/>
        <v>0</v>
      </c>
      <c r="N473" s="11">
        <v>0</v>
      </c>
      <c r="O473" s="11">
        <v>0</v>
      </c>
      <c r="P473" s="11">
        <v>0</v>
      </c>
      <c r="Q473" s="13">
        <f t="shared" si="52"/>
        <v>0</v>
      </c>
      <c r="R473" s="11">
        <v>0</v>
      </c>
      <c r="S473" s="13">
        <f t="shared" si="53"/>
        <v>0</v>
      </c>
      <c r="T473" s="9">
        <v>0</v>
      </c>
      <c r="U473" s="13">
        <f t="shared" si="54"/>
        <v>0</v>
      </c>
      <c r="V473" s="12">
        <f t="shared" si="55"/>
        <v>0</v>
      </c>
      <c r="W473" s="17">
        <f>COUNTIFS(源数据[日期],源数据[[#This Row],[日期]],源数据[账号id],源数据[[#This Row],[账号id]])</f>
        <v>1</v>
      </c>
      <c r="X473" s="15">
        <f>IFERROR(源数据[[#This Row],[点击量]]/源数据[[#This Row],[展示量]],"")</f>
        <v>0</v>
      </c>
      <c r="Y473" s="16">
        <f>IFERROR(源数据[[#This Row],[播放量]]/源数据[[#This Row],[展示量]],"")</f>
        <v>0</v>
      </c>
      <c r="Z473" s="16" t="str">
        <f>IFERROR(源数据[[#This Row],[三连投放总消耗(毫分)]]/源数据[[#This Row],[播放量]],"")</f>
        <v/>
      </c>
      <c r="AA47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74" s="2" customFormat="1" spans="1:27">
      <c r="A474" s="7">
        <v>46204</v>
      </c>
      <c r="B474" s="8" t="s">
        <v>1043</v>
      </c>
      <c r="C474" s="8" t="s">
        <v>1044</v>
      </c>
      <c r="D474" s="8" t="s">
        <v>91</v>
      </c>
      <c r="E474" s="8" t="s">
        <v>92</v>
      </c>
      <c r="F474" s="8" t="s">
        <v>110</v>
      </c>
      <c r="G474" s="9">
        <v>13</v>
      </c>
      <c r="H474" s="9">
        <v>1</v>
      </c>
      <c r="I474" s="10">
        <v>0.05466</v>
      </c>
      <c r="J474" s="11">
        <v>0.04</v>
      </c>
      <c r="K474" s="12">
        <f t="shared" si="49"/>
        <v>0.0769230769230769</v>
      </c>
      <c r="L474" s="13">
        <f t="shared" si="50"/>
        <v>4.20461538461538</v>
      </c>
      <c r="M474" s="13">
        <f t="shared" si="51"/>
        <v>0.05466</v>
      </c>
      <c r="N474" s="11">
        <v>0</v>
      </c>
      <c r="O474" s="11">
        <v>0</v>
      </c>
      <c r="P474" s="11">
        <v>0</v>
      </c>
      <c r="Q474" s="13">
        <f t="shared" si="52"/>
        <v>0</v>
      </c>
      <c r="R474" s="11">
        <v>0</v>
      </c>
      <c r="S474" s="13">
        <f t="shared" si="53"/>
        <v>0</v>
      </c>
      <c r="T474" s="9">
        <v>1</v>
      </c>
      <c r="U474" s="13">
        <f t="shared" si="54"/>
        <v>18.2949140139041</v>
      </c>
      <c r="V474" s="12">
        <f t="shared" si="55"/>
        <v>0.0769230769230769</v>
      </c>
      <c r="W474" s="17">
        <f>COUNTIFS(源数据[日期],源数据[[#This Row],[日期]],源数据[账号id],源数据[[#This Row],[账号id]])</f>
        <v>1</v>
      </c>
      <c r="X474" s="15">
        <f>IFERROR(源数据[[#This Row],[点击量]]/源数据[[#This Row],[展示量]],"")</f>
        <v>0.0769230769230769</v>
      </c>
      <c r="Y474" s="16">
        <f>IFERROR(源数据[[#This Row],[播放量]]/源数据[[#This Row],[展示量]],"")</f>
        <v>0.0769230769230769</v>
      </c>
      <c r="Z474" s="16">
        <f>IFERROR(源数据[[#This Row],[三连投放总消耗(毫分)]]/源数据[[#This Row],[播放量]],"")</f>
        <v>0.05466</v>
      </c>
      <c r="AA47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75" s="2" customFormat="1" spans="1:27">
      <c r="A475" s="7">
        <v>46204</v>
      </c>
      <c r="B475" s="8" t="s">
        <v>1045</v>
      </c>
      <c r="C475" s="8" t="s">
        <v>1046</v>
      </c>
      <c r="D475" s="8" t="s">
        <v>91</v>
      </c>
      <c r="E475" s="8" t="s">
        <v>92</v>
      </c>
      <c r="F475" s="8" t="s">
        <v>748</v>
      </c>
      <c r="G475" s="9">
        <v>64</v>
      </c>
      <c r="H475" s="9">
        <v>1</v>
      </c>
      <c r="I475" s="10">
        <v>0.04971</v>
      </c>
      <c r="J475" s="11">
        <v>0.04</v>
      </c>
      <c r="K475" s="12">
        <f t="shared" si="49"/>
        <v>0.015625</v>
      </c>
      <c r="L475" s="13">
        <f t="shared" si="50"/>
        <v>0.77671875</v>
      </c>
      <c r="M475" s="13">
        <f t="shared" si="51"/>
        <v>0.04971</v>
      </c>
      <c r="N475" s="11">
        <v>0</v>
      </c>
      <c r="O475" s="11">
        <v>0</v>
      </c>
      <c r="P475" s="11">
        <v>0.04</v>
      </c>
      <c r="Q475" s="13">
        <f t="shared" si="52"/>
        <v>0.804667069000201</v>
      </c>
      <c r="R475" s="11">
        <v>0.04</v>
      </c>
      <c r="S475" s="13">
        <f t="shared" si="53"/>
        <v>0.804667069000201</v>
      </c>
      <c r="T475" s="9">
        <v>0</v>
      </c>
      <c r="U475" s="13">
        <f t="shared" si="54"/>
        <v>0</v>
      </c>
      <c r="V475" s="12">
        <f t="shared" si="55"/>
        <v>0</v>
      </c>
      <c r="W475" s="17">
        <f>COUNTIFS(源数据[日期],源数据[[#This Row],[日期]],源数据[账号id],源数据[[#This Row],[账号id]])</f>
        <v>1</v>
      </c>
      <c r="X475" s="15">
        <f>IFERROR(源数据[[#This Row],[点击量]]/源数据[[#This Row],[展示量]],"")</f>
        <v>0.015625</v>
      </c>
      <c r="Y475" s="16">
        <f>IFERROR(源数据[[#This Row],[播放量]]/源数据[[#This Row],[展示量]],"")</f>
        <v>0</v>
      </c>
      <c r="Z475" s="16" t="str">
        <f>IFERROR(源数据[[#This Row],[三连投放总消耗(毫分)]]/源数据[[#This Row],[播放量]],"")</f>
        <v/>
      </c>
      <c r="AA47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76" s="2" customFormat="1" spans="1:27">
      <c r="A476" s="7">
        <v>46204</v>
      </c>
      <c r="B476" s="8" t="s">
        <v>1047</v>
      </c>
      <c r="C476" s="8" t="s">
        <v>1048</v>
      </c>
      <c r="D476" s="8" t="s">
        <v>91</v>
      </c>
      <c r="E476" s="8" t="s">
        <v>92</v>
      </c>
      <c r="F476" s="8" t="s">
        <v>748</v>
      </c>
      <c r="G476" s="9">
        <v>22</v>
      </c>
      <c r="H476" s="9">
        <v>1</v>
      </c>
      <c r="I476" s="10">
        <v>0.04779</v>
      </c>
      <c r="J476" s="11">
        <v>0.04</v>
      </c>
      <c r="K476" s="12">
        <f t="shared" si="49"/>
        <v>0.0454545454545455</v>
      </c>
      <c r="L476" s="13">
        <f t="shared" si="50"/>
        <v>2.17227272727273</v>
      </c>
      <c r="M476" s="13">
        <f t="shared" si="51"/>
        <v>0.04779</v>
      </c>
      <c r="N476" s="11">
        <v>0</v>
      </c>
      <c r="O476" s="11">
        <v>0</v>
      </c>
      <c r="P476" s="11">
        <v>0.18</v>
      </c>
      <c r="Q476" s="13">
        <f t="shared" si="52"/>
        <v>3.76647834274953</v>
      </c>
      <c r="R476" s="11">
        <v>0.18</v>
      </c>
      <c r="S476" s="13">
        <f t="shared" si="53"/>
        <v>3.76647834274953</v>
      </c>
      <c r="T476" s="9">
        <v>0</v>
      </c>
      <c r="U476" s="13">
        <f t="shared" si="54"/>
        <v>0</v>
      </c>
      <c r="V476" s="12">
        <f t="shared" si="55"/>
        <v>0</v>
      </c>
      <c r="W476" s="17">
        <f>COUNTIFS(源数据[日期],源数据[[#This Row],[日期]],源数据[账号id],源数据[[#This Row],[账号id]])</f>
        <v>1</v>
      </c>
      <c r="X476" s="15">
        <f>IFERROR(源数据[[#This Row],[点击量]]/源数据[[#This Row],[展示量]],"")</f>
        <v>0.0454545454545455</v>
      </c>
      <c r="Y476" s="16">
        <f>IFERROR(源数据[[#This Row],[播放量]]/源数据[[#This Row],[展示量]],"")</f>
        <v>0</v>
      </c>
      <c r="Z476" s="16" t="str">
        <f>IFERROR(源数据[[#This Row],[三连投放总消耗(毫分)]]/源数据[[#This Row],[播放量]],"")</f>
        <v/>
      </c>
      <c r="AA47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77" s="2" customFormat="1" spans="1:27">
      <c r="A477" s="7">
        <v>46204</v>
      </c>
      <c r="B477" s="8" t="s">
        <v>1049</v>
      </c>
      <c r="C477" s="8" t="s">
        <v>1050</v>
      </c>
      <c r="D477" s="8" t="s">
        <v>91</v>
      </c>
      <c r="E477" s="8" t="s">
        <v>92</v>
      </c>
      <c r="F477" s="8" t="s">
        <v>110</v>
      </c>
      <c r="G477" s="9">
        <v>15</v>
      </c>
      <c r="H477" s="9">
        <v>0</v>
      </c>
      <c r="I477" s="10">
        <v>0.04318</v>
      </c>
      <c r="J477" s="11">
        <v>0.02</v>
      </c>
      <c r="K477" s="12">
        <f t="shared" si="49"/>
        <v>0</v>
      </c>
      <c r="L477" s="13">
        <f t="shared" si="50"/>
        <v>2.87866666666667</v>
      </c>
      <c r="M477" s="13">
        <f t="shared" si="51"/>
        <v>0</v>
      </c>
      <c r="N477" s="11">
        <v>0</v>
      </c>
      <c r="O477" s="11">
        <v>0</v>
      </c>
      <c r="P477" s="11">
        <v>0</v>
      </c>
      <c r="Q477" s="13">
        <f t="shared" si="52"/>
        <v>0</v>
      </c>
      <c r="R477" s="11">
        <v>0</v>
      </c>
      <c r="S477" s="13">
        <f t="shared" si="53"/>
        <v>0</v>
      </c>
      <c r="T477" s="9">
        <v>1</v>
      </c>
      <c r="U477" s="13">
        <f t="shared" si="54"/>
        <v>23.1588698471515</v>
      </c>
      <c r="V477" s="12">
        <f t="shared" si="55"/>
        <v>0.0666666666666667</v>
      </c>
      <c r="W477" s="17">
        <f>COUNTIFS(源数据[日期],源数据[[#This Row],[日期]],源数据[账号id],源数据[[#This Row],[账号id]])</f>
        <v>1</v>
      </c>
      <c r="X477" s="15">
        <f>IFERROR(源数据[[#This Row],[点击量]]/源数据[[#This Row],[展示量]],"")</f>
        <v>0</v>
      </c>
      <c r="Y477" s="16">
        <f>IFERROR(源数据[[#This Row],[播放量]]/源数据[[#This Row],[展示量]],"")</f>
        <v>0.0666666666666667</v>
      </c>
      <c r="Z477" s="16">
        <f>IFERROR(源数据[[#This Row],[三连投放总消耗(毫分)]]/源数据[[#This Row],[播放量]],"")</f>
        <v>0.04318</v>
      </c>
      <c r="AA47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78" s="2" customFormat="1" spans="1:27">
      <c r="A478" s="7">
        <v>46204</v>
      </c>
      <c r="B478" s="8" t="s">
        <v>1051</v>
      </c>
      <c r="C478" s="8" t="s">
        <v>1052</v>
      </c>
      <c r="D478" s="8" t="s">
        <v>91</v>
      </c>
      <c r="E478" s="8" t="s">
        <v>92</v>
      </c>
      <c r="F478" s="8" t="s">
        <v>96</v>
      </c>
      <c r="G478" s="9">
        <v>582</v>
      </c>
      <c r="H478" s="9">
        <v>2</v>
      </c>
      <c r="I478" s="10">
        <v>0.04218</v>
      </c>
      <c r="J478" s="11">
        <v>0.04</v>
      </c>
      <c r="K478" s="12">
        <f t="shared" si="49"/>
        <v>0.00343642611683849</v>
      </c>
      <c r="L478" s="13">
        <f t="shared" si="50"/>
        <v>0.0724742268041237</v>
      </c>
      <c r="M478" s="13">
        <f t="shared" si="51"/>
        <v>0.02109</v>
      </c>
      <c r="N478" s="11">
        <v>0</v>
      </c>
      <c r="O478" s="11">
        <v>0</v>
      </c>
      <c r="P478" s="11">
        <v>0.06</v>
      </c>
      <c r="Q478" s="13">
        <f t="shared" si="52"/>
        <v>1.42247510668563</v>
      </c>
      <c r="R478" s="11">
        <v>0.06</v>
      </c>
      <c r="S478" s="13">
        <f t="shared" si="53"/>
        <v>1.42247510668563</v>
      </c>
      <c r="T478" s="9">
        <v>3</v>
      </c>
      <c r="U478" s="13">
        <f t="shared" si="54"/>
        <v>71.1237553342816</v>
      </c>
      <c r="V478" s="12">
        <f t="shared" si="55"/>
        <v>0.00515463917525773</v>
      </c>
      <c r="W478" s="17">
        <f>COUNTIFS(源数据[日期],源数据[[#This Row],[日期]],源数据[账号id],源数据[[#This Row],[账号id]])</f>
        <v>1</v>
      </c>
      <c r="X478" s="15">
        <f>IFERROR(源数据[[#This Row],[点击量]]/源数据[[#This Row],[展示量]],"")</f>
        <v>0.00343642611683849</v>
      </c>
      <c r="Y478" s="16">
        <f>IFERROR(源数据[[#This Row],[播放量]]/源数据[[#This Row],[展示量]],"")</f>
        <v>0.00515463917525773</v>
      </c>
      <c r="Z478" s="16">
        <f>IFERROR(源数据[[#This Row],[三连投放总消耗(毫分)]]/源数据[[#This Row],[播放量]],"")</f>
        <v>0.01406</v>
      </c>
      <c r="AA47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79" s="2" customFormat="1" spans="1:27">
      <c r="A479" s="7">
        <v>46204</v>
      </c>
      <c r="B479" s="8" t="s">
        <v>1053</v>
      </c>
      <c r="C479" s="8" t="s">
        <v>1054</v>
      </c>
      <c r="D479" s="8" t="s">
        <v>91</v>
      </c>
      <c r="E479" s="8" t="s">
        <v>92</v>
      </c>
      <c r="F479" s="8" t="s">
        <v>96</v>
      </c>
      <c r="G479" s="9">
        <v>69</v>
      </c>
      <c r="H479" s="9">
        <v>0</v>
      </c>
      <c r="I479" s="10">
        <v>0.04185</v>
      </c>
      <c r="J479" s="11">
        <v>0.04</v>
      </c>
      <c r="K479" s="12">
        <f t="shared" si="49"/>
        <v>0</v>
      </c>
      <c r="L479" s="13">
        <f t="shared" si="50"/>
        <v>0.606521739130435</v>
      </c>
      <c r="M479" s="13">
        <f t="shared" si="51"/>
        <v>0</v>
      </c>
      <c r="N479" s="11">
        <v>0</v>
      </c>
      <c r="O479" s="11">
        <v>0</v>
      </c>
      <c r="P479" s="11">
        <v>0</v>
      </c>
      <c r="Q479" s="13">
        <f t="shared" si="52"/>
        <v>0</v>
      </c>
      <c r="R479" s="11">
        <v>0</v>
      </c>
      <c r="S479" s="13">
        <f t="shared" si="53"/>
        <v>0</v>
      </c>
      <c r="T479" s="9">
        <v>1</v>
      </c>
      <c r="U479" s="13">
        <f t="shared" si="54"/>
        <v>23.89486260454</v>
      </c>
      <c r="V479" s="12">
        <f t="shared" si="55"/>
        <v>0.0144927536231884</v>
      </c>
      <c r="W479" s="17">
        <f>COUNTIFS(源数据[日期],源数据[[#This Row],[日期]],源数据[账号id],源数据[[#This Row],[账号id]])</f>
        <v>1</v>
      </c>
      <c r="X479" s="15">
        <f>IFERROR(源数据[[#This Row],[点击量]]/源数据[[#This Row],[展示量]],"")</f>
        <v>0</v>
      </c>
      <c r="Y479" s="16">
        <f>IFERROR(源数据[[#This Row],[播放量]]/源数据[[#This Row],[展示量]],"")</f>
        <v>0.0144927536231884</v>
      </c>
      <c r="Z479" s="16">
        <f>IFERROR(源数据[[#This Row],[三连投放总消耗(毫分)]]/源数据[[#This Row],[播放量]],"")</f>
        <v>0.04185</v>
      </c>
      <c r="AA47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80" s="2" customFormat="1" spans="1:27">
      <c r="A480" s="7">
        <v>46204</v>
      </c>
      <c r="B480" s="8" t="s">
        <v>1055</v>
      </c>
      <c r="C480" s="8" t="s">
        <v>1056</v>
      </c>
      <c r="D480" s="8" t="s">
        <v>91</v>
      </c>
      <c r="E480" s="8" t="s">
        <v>92</v>
      </c>
      <c r="F480" s="8" t="s">
        <v>748</v>
      </c>
      <c r="G480" s="9">
        <v>69</v>
      </c>
      <c r="H480" s="9">
        <v>0</v>
      </c>
      <c r="I480" s="10">
        <v>0.04093</v>
      </c>
      <c r="J480" s="11">
        <v>0.03</v>
      </c>
      <c r="K480" s="12">
        <f t="shared" si="49"/>
        <v>0</v>
      </c>
      <c r="L480" s="13">
        <f t="shared" si="50"/>
        <v>0.593188405797101</v>
      </c>
      <c r="M480" s="13">
        <f t="shared" si="51"/>
        <v>0</v>
      </c>
      <c r="N480" s="11">
        <v>0</v>
      </c>
      <c r="O480" s="11">
        <v>0</v>
      </c>
      <c r="P480" s="11">
        <v>0</v>
      </c>
      <c r="Q480" s="13">
        <f t="shared" si="52"/>
        <v>0</v>
      </c>
      <c r="R480" s="11">
        <v>0</v>
      </c>
      <c r="S480" s="13">
        <f t="shared" si="53"/>
        <v>0</v>
      </c>
      <c r="T480" s="9">
        <v>0</v>
      </c>
      <c r="U480" s="13">
        <f t="shared" si="54"/>
        <v>0</v>
      </c>
      <c r="V480" s="12">
        <f t="shared" si="55"/>
        <v>0</v>
      </c>
      <c r="W480" s="17">
        <f>COUNTIFS(源数据[日期],源数据[[#This Row],[日期]],源数据[账号id],源数据[[#This Row],[账号id]])</f>
        <v>1</v>
      </c>
      <c r="X480" s="15">
        <f>IFERROR(源数据[[#This Row],[点击量]]/源数据[[#This Row],[展示量]],"")</f>
        <v>0</v>
      </c>
      <c r="Y480" s="16">
        <f>IFERROR(源数据[[#This Row],[播放量]]/源数据[[#This Row],[展示量]],"")</f>
        <v>0</v>
      </c>
      <c r="Z480" s="16" t="str">
        <f>IFERROR(源数据[[#This Row],[三连投放总消耗(毫分)]]/源数据[[#This Row],[播放量]],"")</f>
        <v/>
      </c>
      <c r="AA48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81" s="2" customFormat="1" spans="1:27">
      <c r="A481" s="7">
        <v>46204</v>
      </c>
      <c r="B481" s="8" t="s">
        <v>1057</v>
      </c>
      <c r="C481" s="8" t="s">
        <v>1058</v>
      </c>
      <c r="D481" s="8" t="s">
        <v>91</v>
      </c>
      <c r="E481" s="8" t="s">
        <v>92</v>
      </c>
      <c r="F481" s="8" t="s">
        <v>96</v>
      </c>
      <c r="G481" s="9">
        <v>10</v>
      </c>
      <c r="H481" s="9">
        <v>0</v>
      </c>
      <c r="I481" s="10">
        <v>0.03889</v>
      </c>
      <c r="J481" s="11">
        <v>0.03</v>
      </c>
      <c r="K481" s="12">
        <f t="shared" si="49"/>
        <v>0</v>
      </c>
      <c r="L481" s="13">
        <f t="shared" si="50"/>
        <v>3.889</v>
      </c>
      <c r="M481" s="13">
        <f t="shared" si="51"/>
        <v>0</v>
      </c>
      <c r="N481" s="11">
        <v>0</v>
      </c>
      <c r="O481" s="11">
        <v>0</v>
      </c>
      <c r="P481" s="11">
        <v>0</v>
      </c>
      <c r="Q481" s="13">
        <f t="shared" si="52"/>
        <v>0</v>
      </c>
      <c r="R481" s="11">
        <v>0</v>
      </c>
      <c r="S481" s="13">
        <f t="shared" si="53"/>
        <v>0</v>
      </c>
      <c r="T481" s="9">
        <v>0</v>
      </c>
      <c r="U481" s="13">
        <f t="shared" si="54"/>
        <v>0</v>
      </c>
      <c r="V481" s="12">
        <f t="shared" si="55"/>
        <v>0</v>
      </c>
      <c r="W481" s="17">
        <f>COUNTIFS(源数据[日期],源数据[[#This Row],[日期]],源数据[账号id],源数据[[#This Row],[账号id]])</f>
        <v>1</v>
      </c>
      <c r="X481" s="15">
        <f>IFERROR(源数据[[#This Row],[点击量]]/源数据[[#This Row],[展示量]],"")</f>
        <v>0</v>
      </c>
      <c r="Y481" s="16">
        <f>IFERROR(源数据[[#This Row],[播放量]]/源数据[[#This Row],[展示量]],"")</f>
        <v>0</v>
      </c>
      <c r="Z481" s="16" t="str">
        <f>IFERROR(源数据[[#This Row],[三连投放总消耗(毫分)]]/源数据[[#This Row],[播放量]],"")</f>
        <v/>
      </c>
      <c r="AA48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82" s="2" customFormat="1" spans="1:27">
      <c r="A482" s="7">
        <v>46204</v>
      </c>
      <c r="B482" s="8" t="s">
        <v>1059</v>
      </c>
      <c r="C482" s="8" t="s">
        <v>1060</v>
      </c>
      <c r="D482" s="8" t="s">
        <v>91</v>
      </c>
      <c r="E482" s="8" t="s">
        <v>92</v>
      </c>
      <c r="F482" s="8" t="s">
        <v>110</v>
      </c>
      <c r="G482" s="9">
        <v>19</v>
      </c>
      <c r="H482" s="9">
        <v>0</v>
      </c>
      <c r="I482" s="10">
        <v>0.03726</v>
      </c>
      <c r="J482" s="11">
        <v>0.01</v>
      </c>
      <c r="K482" s="12">
        <f t="shared" si="49"/>
        <v>0</v>
      </c>
      <c r="L482" s="13">
        <f t="shared" si="50"/>
        <v>1.96105263157895</v>
      </c>
      <c r="M482" s="13">
        <f t="shared" si="51"/>
        <v>0</v>
      </c>
      <c r="N482" s="11">
        <v>0</v>
      </c>
      <c r="O482" s="11">
        <v>0</v>
      </c>
      <c r="P482" s="11">
        <v>0</v>
      </c>
      <c r="Q482" s="13">
        <f t="shared" si="52"/>
        <v>0</v>
      </c>
      <c r="R482" s="11">
        <v>0</v>
      </c>
      <c r="S482" s="13">
        <f t="shared" si="53"/>
        <v>0</v>
      </c>
      <c r="T482" s="9">
        <v>0</v>
      </c>
      <c r="U482" s="13">
        <f t="shared" si="54"/>
        <v>0</v>
      </c>
      <c r="V482" s="12">
        <f t="shared" si="55"/>
        <v>0</v>
      </c>
      <c r="W482" s="17">
        <f>COUNTIFS(源数据[日期],源数据[[#This Row],[日期]],源数据[账号id],源数据[[#This Row],[账号id]])</f>
        <v>1</v>
      </c>
      <c r="X482" s="15">
        <f>IFERROR(源数据[[#This Row],[点击量]]/源数据[[#This Row],[展示量]],"")</f>
        <v>0</v>
      </c>
      <c r="Y482" s="16">
        <f>IFERROR(源数据[[#This Row],[播放量]]/源数据[[#This Row],[展示量]],"")</f>
        <v>0</v>
      </c>
      <c r="Z482" s="16" t="str">
        <f>IFERROR(源数据[[#This Row],[三连投放总消耗(毫分)]]/源数据[[#This Row],[播放量]],"")</f>
        <v/>
      </c>
      <c r="AA48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83" s="2" customFormat="1" spans="1:27">
      <c r="A483" s="7">
        <v>46204</v>
      </c>
      <c r="B483" s="8" t="s">
        <v>1061</v>
      </c>
      <c r="C483" s="8" t="s">
        <v>1062</v>
      </c>
      <c r="D483" s="8" t="s">
        <v>91</v>
      </c>
      <c r="E483" s="8" t="s">
        <v>92</v>
      </c>
      <c r="F483" s="8" t="s">
        <v>96</v>
      </c>
      <c r="G483" s="9">
        <v>59</v>
      </c>
      <c r="H483" s="9">
        <v>0</v>
      </c>
      <c r="I483" s="10">
        <v>0.03676</v>
      </c>
      <c r="J483" s="11">
        <v>0.04</v>
      </c>
      <c r="K483" s="12">
        <f t="shared" si="49"/>
        <v>0</v>
      </c>
      <c r="L483" s="13">
        <f t="shared" si="50"/>
        <v>0.623050847457627</v>
      </c>
      <c r="M483" s="13">
        <f t="shared" si="51"/>
        <v>0</v>
      </c>
      <c r="N483" s="11">
        <v>0</v>
      </c>
      <c r="O483" s="11">
        <v>0</v>
      </c>
      <c r="P483" s="11">
        <v>0</v>
      </c>
      <c r="Q483" s="13">
        <f t="shared" si="52"/>
        <v>0</v>
      </c>
      <c r="R483" s="11">
        <v>0</v>
      </c>
      <c r="S483" s="13">
        <f t="shared" si="53"/>
        <v>0</v>
      </c>
      <c r="T483" s="9">
        <v>1</v>
      </c>
      <c r="U483" s="13">
        <f t="shared" si="54"/>
        <v>27.2034820457019</v>
      </c>
      <c r="V483" s="12">
        <f t="shared" si="55"/>
        <v>0.0169491525423729</v>
      </c>
      <c r="W483" s="17">
        <f>COUNTIFS(源数据[日期],源数据[[#This Row],[日期]],源数据[账号id],源数据[[#This Row],[账号id]])</f>
        <v>1</v>
      </c>
      <c r="X483" s="15">
        <f>IFERROR(源数据[[#This Row],[点击量]]/源数据[[#This Row],[展示量]],"")</f>
        <v>0</v>
      </c>
      <c r="Y483" s="16">
        <f>IFERROR(源数据[[#This Row],[播放量]]/源数据[[#This Row],[展示量]],"")</f>
        <v>0.0169491525423729</v>
      </c>
      <c r="Z483" s="16">
        <f>IFERROR(源数据[[#This Row],[三连投放总消耗(毫分)]]/源数据[[#This Row],[播放量]],"")</f>
        <v>0.03676</v>
      </c>
      <c r="AA48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84" s="2" customFormat="1" spans="1:27">
      <c r="A484" s="7">
        <v>46204</v>
      </c>
      <c r="B484" s="8" t="s">
        <v>1063</v>
      </c>
      <c r="C484" s="8" t="s">
        <v>1064</v>
      </c>
      <c r="D484" s="8" t="s">
        <v>91</v>
      </c>
      <c r="E484" s="8" t="s">
        <v>92</v>
      </c>
      <c r="F484" s="8" t="s">
        <v>110</v>
      </c>
      <c r="G484" s="9">
        <v>9</v>
      </c>
      <c r="H484" s="9">
        <v>0</v>
      </c>
      <c r="I484" s="10">
        <v>0.03081</v>
      </c>
      <c r="J484" s="11">
        <v>0.01</v>
      </c>
      <c r="K484" s="12">
        <f t="shared" si="49"/>
        <v>0</v>
      </c>
      <c r="L484" s="13">
        <f t="shared" si="50"/>
        <v>3.42333333333333</v>
      </c>
      <c r="M484" s="13">
        <f t="shared" si="51"/>
        <v>0</v>
      </c>
      <c r="N484" s="11">
        <v>0</v>
      </c>
      <c r="O484" s="11">
        <v>0</v>
      </c>
      <c r="P484" s="11">
        <v>0</v>
      </c>
      <c r="Q484" s="13">
        <f t="shared" si="52"/>
        <v>0</v>
      </c>
      <c r="R484" s="11">
        <v>0</v>
      </c>
      <c r="S484" s="13">
        <f t="shared" si="53"/>
        <v>0</v>
      </c>
      <c r="T484" s="9">
        <v>0</v>
      </c>
      <c r="U484" s="13">
        <f t="shared" si="54"/>
        <v>0</v>
      </c>
      <c r="V484" s="12">
        <f t="shared" si="55"/>
        <v>0</v>
      </c>
      <c r="W484" s="17">
        <f>COUNTIFS(源数据[日期],源数据[[#This Row],[日期]],源数据[账号id],源数据[[#This Row],[账号id]])</f>
        <v>1</v>
      </c>
      <c r="X484" s="15">
        <f>IFERROR(源数据[[#This Row],[点击量]]/源数据[[#This Row],[展示量]],"")</f>
        <v>0</v>
      </c>
      <c r="Y484" s="16">
        <f>IFERROR(源数据[[#This Row],[播放量]]/源数据[[#This Row],[展示量]],"")</f>
        <v>0</v>
      </c>
      <c r="Z484" s="16" t="str">
        <f>IFERROR(源数据[[#This Row],[三连投放总消耗(毫分)]]/源数据[[#This Row],[播放量]],"")</f>
        <v/>
      </c>
      <c r="AA48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85" s="2" customFormat="1" spans="1:27">
      <c r="A485" s="7">
        <v>46204</v>
      </c>
      <c r="B485" s="8" t="s">
        <v>1065</v>
      </c>
      <c r="C485" s="8" t="s">
        <v>1066</v>
      </c>
      <c r="D485" s="8" t="s">
        <v>91</v>
      </c>
      <c r="E485" s="8" t="s">
        <v>92</v>
      </c>
      <c r="F485" s="8" t="s">
        <v>152</v>
      </c>
      <c r="G485" s="9">
        <v>3</v>
      </c>
      <c r="H485" s="9">
        <v>0</v>
      </c>
      <c r="I485" s="10">
        <v>0.02903</v>
      </c>
      <c r="J485" s="11">
        <v>0.02</v>
      </c>
      <c r="K485" s="12">
        <f t="shared" si="49"/>
        <v>0</v>
      </c>
      <c r="L485" s="13">
        <f t="shared" si="50"/>
        <v>9.67666666666667</v>
      </c>
      <c r="M485" s="13">
        <f t="shared" si="51"/>
        <v>0</v>
      </c>
      <c r="N485" s="11">
        <v>0</v>
      </c>
      <c r="O485" s="11">
        <v>0</v>
      </c>
      <c r="P485" s="11">
        <v>0</v>
      </c>
      <c r="Q485" s="13">
        <f t="shared" si="52"/>
        <v>0</v>
      </c>
      <c r="R485" s="11">
        <v>0</v>
      </c>
      <c r="S485" s="13">
        <f t="shared" si="53"/>
        <v>0</v>
      </c>
      <c r="T485" s="9">
        <v>0</v>
      </c>
      <c r="U485" s="13">
        <f t="shared" si="54"/>
        <v>0</v>
      </c>
      <c r="V485" s="12">
        <f t="shared" si="55"/>
        <v>0</v>
      </c>
      <c r="W485" s="17">
        <f>COUNTIFS(源数据[日期],源数据[[#This Row],[日期]],源数据[账号id],源数据[[#This Row],[账号id]])</f>
        <v>1</v>
      </c>
      <c r="X485" s="15">
        <f>IFERROR(源数据[[#This Row],[点击量]]/源数据[[#This Row],[展示量]],"")</f>
        <v>0</v>
      </c>
      <c r="Y485" s="16">
        <f>IFERROR(源数据[[#This Row],[播放量]]/源数据[[#This Row],[展示量]],"")</f>
        <v>0</v>
      </c>
      <c r="Z485" s="16" t="str">
        <f>IFERROR(源数据[[#This Row],[三连投放总消耗(毫分)]]/源数据[[#This Row],[播放量]],"")</f>
        <v/>
      </c>
      <c r="AA48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86" s="2" customFormat="1" spans="1:27">
      <c r="A486" s="7">
        <v>46204</v>
      </c>
      <c r="B486" s="8" t="s">
        <v>1067</v>
      </c>
      <c r="C486" s="8" t="s">
        <v>1068</v>
      </c>
      <c r="D486" s="8" t="s">
        <v>91</v>
      </c>
      <c r="E486" s="8" t="s">
        <v>92</v>
      </c>
      <c r="F486" s="8" t="s">
        <v>96</v>
      </c>
      <c r="G486" s="9">
        <v>5</v>
      </c>
      <c r="H486" s="9">
        <v>0</v>
      </c>
      <c r="I486" s="10">
        <v>0.02866</v>
      </c>
      <c r="J486" s="11">
        <v>0.01</v>
      </c>
      <c r="K486" s="12">
        <f t="shared" si="49"/>
        <v>0</v>
      </c>
      <c r="L486" s="13">
        <f t="shared" si="50"/>
        <v>5.732</v>
      </c>
      <c r="M486" s="13">
        <f t="shared" si="51"/>
        <v>0</v>
      </c>
      <c r="N486" s="11">
        <v>0</v>
      </c>
      <c r="O486" s="11">
        <v>0</v>
      </c>
      <c r="P486" s="11">
        <v>0</v>
      </c>
      <c r="Q486" s="13">
        <f t="shared" si="52"/>
        <v>0</v>
      </c>
      <c r="R486" s="11">
        <v>0</v>
      </c>
      <c r="S486" s="13">
        <f t="shared" si="53"/>
        <v>0</v>
      </c>
      <c r="T486" s="9">
        <v>0</v>
      </c>
      <c r="U486" s="13">
        <f t="shared" si="54"/>
        <v>0</v>
      </c>
      <c r="V486" s="12">
        <f t="shared" si="55"/>
        <v>0</v>
      </c>
      <c r="W486" s="17">
        <f>COUNTIFS(源数据[日期],源数据[[#This Row],[日期]],源数据[账号id],源数据[[#This Row],[账号id]])</f>
        <v>1</v>
      </c>
      <c r="X486" s="15">
        <f>IFERROR(源数据[[#This Row],[点击量]]/源数据[[#This Row],[展示量]],"")</f>
        <v>0</v>
      </c>
      <c r="Y486" s="16">
        <f>IFERROR(源数据[[#This Row],[播放量]]/源数据[[#This Row],[展示量]],"")</f>
        <v>0</v>
      </c>
      <c r="Z486" s="16" t="str">
        <f>IFERROR(源数据[[#This Row],[三连投放总消耗(毫分)]]/源数据[[#This Row],[播放量]],"")</f>
        <v/>
      </c>
      <c r="AA48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87" s="2" customFormat="1" spans="1:27">
      <c r="A487" s="7">
        <v>46204</v>
      </c>
      <c r="B487" s="8" t="s">
        <v>1069</v>
      </c>
      <c r="C487" s="8" t="s">
        <v>1070</v>
      </c>
      <c r="D487" s="8" t="s">
        <v>91</v>
      </c>
      <c r="E487" s="8" t="s">
        <v>92</v>
      </c>
      <c r="F487" s="8" t="s">
        <v>96</v>
      </c>
      <c r="G487" s="9">
        <v>96</v>
      </c>
      <c r="H487" s="9">
        <v>1</v>
      </c>
      <c r="I487" s="10">
        <v>0.02742</v>
      </c>
      <c r="J487" s="11">
        <v>0.02</v>
      </c>
      <c r="K487" s="12">
        <f t="shared" si="49"/>
        <v>0.0104166666666667</v>
      </c>
      <c r="L487" s="13">
        <f t="shared" si="50"/>
        <v>0.285625</v>
      </c>
      <c r="M487" s="13">
        <f t="shared" si="51"/>
        <v>0.02742</v>
      </c>
      <c r="N487" s="11">
        <v>0</v>
      </c>
      <c r="O487" s="11">
        <v>0</v>
      </c>
      <c r="P487" s="11">
        <v>0</v>
      </c>
      <c r="Q487" s="13">
        <f t="shared" si="52"/>
        <v>0</v>
      </c>
      <c r="R487" s="11">
        <v>0</v>
      </c>
      <c r="S487" s="13">
        <f t="shared" si="53"/>
        <v>0</v>
      </c>
      <c r="T487" s="9">
        <v>3</v>
      </c>
      <c r="U487" s="13">
        <f t="shared" si="54"/>
        <v>109.409190371991</v>
      </c>
      <c r="V487" s="12">
        <f t="shared" si="55"/>
        <v>0.03125</v>
      </c>
      <c r="W487" s="17">
        <f>COUNTIFS(源数据[日期],源数据[[#This Row],[日期]],源数据[账号id],源数据[[#This Row],[账号id]])</f>
        <v>1</v>
      </c>
      <c r="X487" s="15">
        <f>IFERROR(源数据[[#This Row],[点击量]]/源数据[[#This Row],[展示量]],"")</f>
        <v>0.0104166666666667</v>
      </c>
      <c r="Y487" s="16">
        <f>IFERROR(源数据[[#This Row],[播放量]]/源数据[[#This Row],[展示量]],"")</f>
        <v>0.03125</v>
      </c>
      <c r="Z487" s="16">
        <f>IFERROR(源数据[[#This Row],[三连投放总消耗(毫分)]]/源数据[[#This Row],[播放量]],"")</f>
        <v>0.00914</v>
      </c>
      <c r="AA48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88" s="2" customFormat="1" spans="1:27">
      <c r="A488" s="7">
        <v>46204</v>
      </c>
      <c r="B488" s="8" t="s">
        <v>1071</v>
      </c>
      <c r="C488" s="8" t="s">
        <v>1072</v>
      </c>
      <c r="D488" s="8" t="s">
        <v>91</v>
      </c>
      <c r="E488" s="8" t="s">
        <v>92</v>
      </c>
      <c r="F488" s="8" t="s">
        <v>96</v>
      </c>
      <c r="G488" s="9">
        <v>43</v>
      </c>
      <c r="H488" s="9">
        <v>1</v>
      </c>
      <c r="I488" s="10">
        <v>0.02612</v>
      </c>
      <c r="J488" s="11">
        <v>0.02</v>
      </c>
      <c r="K488" s="12">
        <f t="shared" si="49"/>
        <v>0.0232558139534884</v>
      </c>
      <c r="L488" s="13">
        <f t="shared" si="50"/>
        <v>0.607441860465116</v>
      </c>
      <c r="M488" s="13">
        <f t="shared" si="51"/>
        <v>0.02612</v>
      </c>
      <c r="N488" s="11">
        <v>0</v>
      </c>
      <c r="O488" s="11">
        <v>0</v>
      </c>
      <c r="P488" s="11">
        <v>0.03</v>
      </c>
      <c r="Q488" s="13">
        <f t="shared" si="52"/>
        <v>1.14854517611026</v>
      </c>
      <c r="R488" s="11">
        <v>0.03</v>
      </c>
      <c r="S488" s="13">
        <f t="shared" si="53"/>
        <v>1.14854517611026</v>
      </c>
      <c r="T488" s="9">
        <v>2</v>
      </c>
      <c r="U488" s="13">
        <f t="shared" si="54"/>
        <v>76.5696784073507</v>
      </c>
      <c r="V488" s="12">
        <f t="shared" si="55"/>
        <v>0.0465116279069767</v>
      </c>
      <c r="W488" s="17">
        <f>COUNTIFS(源数据[日期],源数据[[#This Row],[日期]],源数据[账号id],源数据[[#This Row],[账号id]])</f>
        <v>1</v>
      </c>
      <c r="X488" s="15">
        <f>IFERROR(源数据[[#This Row],[点击量]]/源数据[[#This Row],[展示量]],"")</f>
        <v>0.0232558139534884</v>
      </c>
      <c r="Y488" s="16">
        <f>IFERROR(源数据[[#This Row],[播放量]]/源数据[[#This Row],[展示量]],"")</f>
        <v>0.0465116279069767</v>
      </c>
      <c r="Z488" s="16">
        <f>IFERROR(源数据[[#This Row],[三连投放总消耗(毫分)]]/源数据[[#This Row],[播放量]],"")</f>
        <v>0.01306</v>
      </c>
      <c r="AA48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89" s="2" customFormat="1" spans="1:27">
      <c r="A489" s="7">
        <v>46204</v>
      </c>
      <c r="B489" s="8" t="s">
        <v>1073</v>
      </c>
      <c r="C489" s="8" t="s">
        <v>1074</v>
      </c>
      <c r="D489" s="8" t="s">
        <v>91</v>
      </c>
      <c r="E489" s="8" t="s">
        <v>92</v>
      </c>
      <c r="F489" s="8" t="s">
        <v>93</v>
      </c>
      <c r="G489" s="9">
        <v>4</v>
      </c>
      <c r="H489" s="9">
        <v>0</v>
      </c>
      <c r="I489" s="10">
        <v>0.02148</v>
      </c>
      <c r="J489" s="11">
        <v>0.01</v>
      </c>
      <c r="K489" s="12">
        <f t="shared" si="49"/>
        <v>0</v>
      </c>
      <c r="L489" s="13">
        <f t="shared" si="50"/>
        <v>5.37</v>
      </c>
      <c r="M489" s="13">
        <f t="shared" si="51"/>
        <v>0</v>
      </c>
      <c r="N489" s="11">
        <v>0</v>
      </c>
      <c r="O489" s="11">
        <v>0</v>
      </c>
      <c r="P489" s="11">
        <v>0</v>
      </c>
      <c r="Q489" s="13">
        <f t="shared" si="52"/>
        <v>0</v>
      </c>
      <c r="R489" s="11">
        <v>0</v>
      </c>
      <c r="S489" s="13">
        <f t="shared" si="53"/>
        <v>0</v>
      </c>
      <c r="T489" s="9">
        <v>0</v>
      </c>
      <c r="U489" s="13">
        <f t="shared" si="54"/>
        <v>0</v>
      </c>
      <c r="V489" s="12">
        <f t="shared" si="55"/>
        <v>0</v>
      </c>
      <c r="W489" s="17">
        <f>COUNTIFS(源数据[日期],源数据[[#This Row],[日期]],源数据[账号id],源数据[[#This Row],[账号id]])</f>
        <v>1</v>
      </c>
      <c r="X489" s="15">
        <f>IFERROR(源数据[[#This Row],[点击量]]/源数据[[#This Row],[展示量]],"")</f>
        <v>0</v>
      </c>
      <c r="Y489" s="16">
        <f>IFERROR(源数据[[#This Row],[播放量]]/源数据[[#This Row],[展示量]],"")</f>
        <v>0</v>
      </c>
      <c r="Z489" s="16" t="str">
        <f>IFERROR(源数据[[#This Row],[三连投放总消耗(毫分)]]/源数据[[#This Row],[播放量]],"")</f>
        <v/>
      </c>
      <c r="AA48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90" s="2" customFormat="1" spans="1:27">
      <c r="A490" s="7">
        <v>46204</v>
      </c>
      <c r="B490" s="8" t="s">
        <v>1075</v>
      </c>
      <c r="C490" s="8" t="s">
        <v>1076</v>
      </c>
      <c r="D490" s="8" t="s">
        <v>91</v>
      </c>
      <c r="E490" s="8" t="s">
        <v>92</v>
      </c>
      <c r="F490" s="8" t="s">
        <v>96</v>
      </c>
      <c r="G490" s="9">
        <v>300</v>
      </c>
      <c r="H490" s="9">
        <v>0</v>
      </c>
      <c r="I490" s="10">
        <v>0.02029</v>
      </c>
      <c r="J490" s="11">
        <v>0.01</v>
      </c>
      <c r="K490" s="12">
        <f t="shared" si="49"/>
        <v>0</v>
      </c>
      <c r="L490" s="13">
        <f t="shared" si="50"/>
        <v>0.0676333333333333</v>
      </c>
      <c r="M490" s="13">
        <f t="shared" si="51"/>
        <v>0</v>
      </c>
      <c r="N490" s="11">
        <v>0</v>
      </c>
      <c r="O490" s="11">
        <v>0</v>
      </c>
      <c r="P490" s="11">
        <v>0</v>
      </c>
      <c r="Q490" s="13">
        <f t="shared" si="52"/>
        <v>0</v>
      </c>
      <c r="R490" s="11">
        <v>0</v>
      </c>
      <c r="S490" s="13">
        <f t="shared" si="53"/>
        <v>0</v>
      </c>
      <c r="T490" s="9">
        <v>0</v>
      </c>
      <c r="U490" s="13">
        <f t="shared" si="54"/>
        <v>0</v>
      </c>
      <c r="V490" s="12">
        <f t="shared" si="55"/>
        <v>0</v>
      </c>
      <c r="W490" s="17">
        <f>COUNTIFS(源数据[日期],源数据[[#This Row],[日期]],源数据[账号id],源数据[[#This Row],[账号id]])</f>
        <v>1</v>
      </c>
      <c r="X490" s="15">
        <f>IFERROR(源数据[[#This Row],[点击量]]/源数据[[#This Row],[展示量]],"")</f>
        <v>0</v>
      </c>
      <c r="Y490" s="16">
        <f>IFERROR(源数据[[#This Row],[播放量]]/源数据[[#This Row],[展示量]],"")</f>
        <v>0</v>
      </c>
      <c r="Z490" s="16" t="str">
        <f>IFERROR(源数据[[#This Row],[三连投放总消耗(毫分)]]/源数据[[#This Row],[播放量]],"")</f>
        <v/>
      </c>
      <c r="AA49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91" s="2" customFormat="1" spans="1:27">
      <c r="A491" s="7">
        <v>46204</v>
      </c>
      <c r="B491" s="8" t="s">
        <v>1077</v>
      </c>
      <c r="C491" s="8" t="s">
        <v>1078</v>
      </c>
      <c r="D491" s="8" t="s">
        <v>91</v>
      </c>
      <c r="E491" s="8" t="s">
        <v>92</v>
      </c>
      <c r="F491" s="8" t="s">
        <v>96</v>
      </c>
      <c r="G491" s="9">
        <v>884</v>
      </c>
      <c r="H491" s="9">
        <v>1</v>
      </c>
      <c r="I491" s="10">
        <v>0.01995</v>
      </c>
      <c r="J491" s="11">
        <v>0.01</v>
      </c>
      <c r="K491" s="12">
        <f t="shared" si="49"/>
        <v>0.00113122171945701</v>
      </c>
      <c r="L491" s="13">
        <f t="shared" si="50"/>
        <v>0.0225678733031674</v>
      </c>
      <c r="M491" s="13">
        <f t="shared" si="51"/>
        <v>0.01995</v>
      </c>
      <c r="N491" s="11">
        <v>0</v>
      </c>
      <c r="O491" s="11">
        <v>0</v>
      </c>
      <c r="P491" s="11">
        <v>0.01</v>
      </c>
      <c r="Q491" s="13">
        <f t="shared" si="52"/>
        <v>0.50125313283208</v>
      </c>
      <c r="R491" s="11">
        <v>0.01</v>
      </c>
      <c r="S491" s="13">
        <f t="shared" si="53"/>
        <v>0.50125313283208</v>
      </c>
      <c r="T491" s="9">
        <v>2</v>
      </c>
      <c r="U491" s="13">
        <f t="shared" si="54"/>
        <v>100.250626566416</v>
      </c>
      <c r="V491" s="12">
        <f t="shared" si="55"/>
        <v>0.00226244343891403</v>
      </c>
      <c r="W491" s="17">
        <f>COUNTIFS(源数据[日期],源数据[[#This Row],[日期]],源数据[账号id],源数据[[#This Row],[账号id]])</f>
        <v>1</v>
      </c>
      <c r="X491" s="15">
        <f>IFERROR(源数据[[#This Row],[点击量]]/源数据[[#This Row],[展示量]],"")</f>
        <v>0.00113122171945701</v>
      </c>
      <c r="Y491" s="16">
        <f>IFERROR(源数据[[#This Row],[播放量]]/源数据[[#This Row],[展示量]],"")</f>
        <v>0.00226244343891403</v>
      </c>
      <c r="Z491" s="16">
        <f>IFERROR(源数据[[#This Row],[三连投放总消耗(毫分)]]/源数据[[#This Row],[播放量]],"")</f>
        <v>0.009975</v>
      </c>
      <c r="AA49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92" s="2" customFormat="1" spans="1:27">
      <c r="A492" s="7">
        <v>46204</v>
      </c>
      <c r="B492" s="8" t="s">
        <v>1079</v>
      </c>
      <c r="C492" s="8" t="s">
        <v>1080</v>
      </c>
      <c r="D492" s="8" t="s">
        <v>91</v>
      </c>
      <c r="E492" s="8" t="s">
        <v>92</v>
      </c>
      <c r="F492" s="8" t="s">
        <v>93</v>
      </c>
      <c r="G492" s="9">
        <v>3</v>
      </c>
      <c r="H492" s="9">
        <v>1</v>
      </c>
      <c r="I492" s="10">
        <v>0.01948</v>
      </c>
      <c r="J492" s="11">
        <v>0.01</v>
      </c>
      <c r="K492" s="12">
        <f t="shared" si="49"/>
        <v>0.333333333333333</v>
      </c>
      <c r="L492" s="13">
        <f t="shared" si="50"/>
        <v>6.49333333333333</v>
      </c>
      <c r="M492" s="13">
        <f t="shared" si="51"/>
        <v>0.01948</v>
      </c>
      <c r="N492" s="11">
        <v>0</v>
      </c>
      <c r="O492" s="11">
        <v>0</v>
      </c>
      <c r="P492" s="11">
        <v>0</v>
      </c>
      <c r="Q492" s="13">
        <f t="shared" si="52"/>
        <v>0</v>
      </c>
      <c r="R492" s="11">
        <v>0</v>
      </c>
      <c r="S492" s="13">
        <f t="shared" si="53"/>
        <v>0</v>
      </c>
      <c r="T492" s="9">
        <v>0</v>
      </c>
      <c r="U492" s="13">
        <f t="shared" si="54"/>
        <v>0</v>
      </c>
      <c r="V492" s="12">
        <f t="shared" si="55"/>
        <v>0</v>
      </c>
      <c r="W492" s="17">
        <f>COUNTIFS(源数据[日期],源数据[[#This Row],[日期]],源数据[账号id],源数据[[#This Row],[账号id]])</f>
        <v>1</v>
      </c>
      <c r="X492" s="15">
        <f>IFERROR(源数据[[#This Row],[点击量]]/源数据[[#This Row],[展示量]],"")</f>
        <v>0.333333333333333</v>
      </c>
      <c r="Y492" s="16">
        <f>IFERROR(源数据[[#This Row],[播放量]]/源数据[[#This Row],[展示量]],"")</f>
        <v>0</v>
      </c>
      <c r="Z492" s="16" t="str">
        <f>IFERROR(源数据[[#This Row],[三连投放总消耗(毫分)]]/源数据[[#This Row],[播放量]],"")</f>
        <v/>
      </c>
      <c r="AA49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93" s="2" customFormat="1" spans="1:27">
      <c r="A493" s="7">
        <v>46204</v>
      </c>
      <c r="B493" s="8" t="s">
        <v>1081</v>
      </c>
      <c r="C493" s="8" t="s">
        <v>1082</v>
      </c>
      <c r="D493" s="8" t="s">
        <v>91</v>
      </c>
      <c r="E493" s="8" t="s">
        <v>92</v>
      </c>
      <c r="F493" s="8" t="s">
        <v>96</v>
      </c>
      <c r="G493" s="9">
        <v>108</v>
      </c>
      <c r="H493" s="9">
        <v>1</v>
      </c>
      <c r="I493" s="10">
        <v>0.01683</v>
      </c>
      <c r="J493" s="11">
        <v>0.01</v>
      </c>
      <c r="K493" s="12">
        <f t="shared" si="49"/>
        <v>0.00925925925925926</v>
      </c>
      <c r="L493" s="13">
        <f t="shared" si="50"/>
        <v>0.155833333333333</v>
      </c>
      <c r="M493" s="13">
        <f t="shared" si="51"/>
        <v>0.01683</v>
      </c>
      <c r="N493" s="11">
        <v>0</v>
      </c>
      <c r="O493" s="11">
        <v>0</v>
      </c>
      <c r="P493" s="11">
        <v>0.03</v>
      </c>
      <c r="Q493" s="13">
        <f t="shared" si="52"/>
        <v>1.7825311942959</v>
      </c>
      <c r="R493" s="11">
        <v>0.03</v>
      </c>
      <c r="S493" s="13">
        <f t="shared" si="53"/>
        <v>1.7825311942959</v>
      </c>
      <c r="T493" s="9">
        <v>1</v>
      </c>
      <c r="U493" s="13">
        <f t="shared" si="54"/>
        <v>59.41770647653</v>
      </c>
      <c r="V493" s="12">
        <f t="shared" si="55"/>
        <v>0.00925925925925926</v>
      </c>
      <c r="W493" s="17">
        <f>COUNTIFS(源数据[日期],源数据[[#This Row],[日期]],源数据[账号id],源数据[[#This Row],[账号id]])</f>
        <v>1</v>
      </c>
      <c r="X493" s="15">
        <f>IFERROR(源数据[[#This Row],[点击量]]/源数据[[#This Row],[展示量]],"")</f>
        <v>0.00925925925925926</v>
      </c>
      <c r="Y493" s="16">
        <f>IFERROR(源数据[[#This Row],[播放量]]/源数据[[#This Row],[展示量]],"")</f>
        <v>0.00925925925925926</v>
      </c>
      <c r="Z493" s="16">
        <f>IFERROR(源数据[[#This Row],[三连投放总消耗(毫分)]]/源数据[[#This Row],[播放量]],"")</f>
        <v>0.01683</v>
      </c>
      <c r="AA49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94" s="2" customFormat="1" spans="1:27">
      <c r="A494" s="7">
        <v>46204</v>
      </c>
      <c r="B494" s="8" t="s">
        <v>1083</v>
      </c>
      <c r="C494" s="8" t="s">
        <v>1084</v>
      </c>
      <c r="D494" s="8" t="s">
        <v>91</v>
      </c>
      <c r="E494" s="8" t="s">
        <v>92</v>
      </c>
      <c r="F494" s="8" t="s">
        <v>115</v>
      </c>
      <c r="G494" s="9">
        <v>4</v>
      </c>
      <c r="H494" s="9">
        <v>0</v>
      </c>
      <c r="I494" s="10">
        <v>0.01668</v>
      </c>
      <c r="J494" s="11">
        <v>0.01</v>
      </c>
      <c r="K494" s="12">
        <f t="shared" si="49"/>
        <v>0</v>
      </c>
      <c r="L494" s="13">
        <f t="shared" si="50"/>
        <v>4.17</v>
      </c>
      <c r="M494" s="13">
        <f t="shared" si="51"/>
        <v>0</v>
      </c>
      <c r="N494" s="11">
        <v>0</v>
      </c>
      <c r="O494" s="11">
        <v>0</v>
      </c>
      <c r="P494" s="11">
        <v>0</v>
      </c>
      <c r="Q494" s="13">
        <f t="shared" si="52"/>
        <v>0</v>
      </c>
      <c r="R494" s="11">
        <v>0</v>
      </c>
      <c r="S494" s="13">
        <f t="shared" si="53"/>
        <v>0</v>
      </c>
      <c r="T494" s="9">
        <v>0</v>
      </c>
      <c r="U494" s="13">
        <f t="shared" si="54"/>
        <v>0</v>
      </c>
      <c r="V494" s="12">
        <f t="shared" si="55"/>
        <v>0</v>
      </c>
      <c r="W494" s="17">
        <f>COUNTIFS(源数据[日期],源数据[[#This Row],[日期]],源数据[账号id],源数据[[#This Row],[账号id]])</f>
        <v>1</v>
      </c>
      <c r="X494" s="15">
        <f>IFERROR(源数据[[#This Row],[点击量]]/源数据[[#This Row],[展示量]],"")</f>
        <v>0</v>
      </c>
      <c r="Y494" s="16">
        <f>IFERROR(源数据[[#This Row],[播放量]]/源数据[[#This Row],[展示量]],"")</f>
        <v>0</v>
      </c>
      <c r="Z494" s="16" t="str">
        <f>IFERROR(源数据[[#This Row],[三连投放总消耗(毫分)]]/源数据[[#This Row],[播放量]],"")</f>
        <v/>
      </c>
      <c r="AA49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95" s="2" customFormat="1" spans="1:27">
      <c r="A495" s="7">
        <v>46204</v>
      </c>
      <c r="B495" s="8" t="s">
        <v>1085</v>
      </c>
      <c r="C495" s="8" t="s">
        <v>1086</v>
      </c>
      <c r="D495" s="8" t="s">
        <v>91</v>
      </c>
      <c r="E495" s="8" t="s">
        <v>92</v>
      </c>
      <c r="F495" s="8" t="s">
        <v>96</v>
      </c>
      <c r="G495" s="9">
        <v>230</v>
      </c>
      <c r="H495" s="9">
        <v>1</v>
      </c>
      <c r="I495" s="10">
        <v>0.01559</v>
      </c>
      <c r="J495" s="11">
        <v>0.01</v>
      </c>
      <c r="K495" s="12">
        <f t="shared" si="49"/>
        <v>0.00434782608695652</v>
      </c>
      <c r="L495" s="13">
        <f t="shared" si="50"/>
        <v>0.0677826086956522</v>
      </c>
      <c r="M495" s="13">
        <f t="shared" si="51"/>
        <v>0.01559</v>
      </c>
      <c r="N495" s="11">
        <v>0</v>
      </c>
      <c r="O495" s="11">
        <v>0</v>
      </c>
      <c r="P495" s="11">
        <v>0.13</v>
      </c>
      <c r="Q495" s="13">
        <f t="shared" si="52"/>
        <v>8.33867864015395</v>
      </c>
      <c r="R495" s="11">
        <v>0.13</v>
      </c>
      <c r="S495" s="13">
        <f t="shared" si="53"/>
        <v>8.33867864015395</v>
      </c>
      <c r="T495" s="9">
        <v>1</v>
      </c>
      <c r="U495" s="13">
        <f t="shared" si="54"/>
        <v>64.143681847338</v>
      </c>
      <c r="V495" s="12">
        <f t="shared" si="55"/>
        <v>0.00434782608695652</v>
      </c>
      <c r="W495" s="17">
        <f>COUNTIFS(源数据[日期],源数据[[#This Row],[日期]],源数据[账号id],源数据[[#This Row],[账号id]])</f>
        <v>1</v>
      </c>
      <c r="X495" s="15">
        <f>IFERROR(源数据[[#This Row],[点击量]]/源数据[[#This Row],[展示量]],"")</f>
        <v>0.00434782608695652</v>
      </c>
      <c r="Y495" s="16">
        <f>IFERROR(源数据[[#This Row],[播放量]]/源数据[[#This Row],[展示量]],"")</f>
        <v>0.00434782608695652</v>
      </c>
      <c r="Z495" s="16">
        <f>IFERROR(源数据[[#This Row],[三连投放总消耗(毫分)]]/源数据[[#This Row],[播放量]],"")</f>
        <v>0.01559</v>
      </c>
      <c r="AA49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96" s="2" customFormat="1" spans="1:27">
      <c r="A496" s="7">
        <v>46204</v>
      </c>
      <c r="B496" s="8" t="s">
        <v>1087</v>
      </c>
      <c r="C496" s="8" t="s">
        <v>1088</v>
      </c>
      <c r="D496" s="8" t="s">
        <v>91</v>
      </c>
      <c r="E496" s="8" t="s">
        <v>92</v>
      </c>
      <c r="F496" s="8" t="s">
        <v>93</v>
      </c>
      <c r="G496" s="9">
        <v>2</v>
      </c>
      <c r="H496" s="9">
        <v>0</v>
      </c>
      <c r="I496" s="10">
        <v>0.01526</v>
      </c>
      <c r="J496" s="11">
        <v>0.01</v>
      </c>
      <c r="K496" s="12">
        <f t="shared" si="49"/>
        <v>0</v>
      </c>
      <c r="L496" s="13">
        <f t="shared" si="50"/>
        <v>7.63</v>
      </c>
      <c r="M496" s="13">
        <f t="shared" si="51"/>
        <v>0</v>
      </c>
      <c r="N496" s="11">
        <v>0</v>
      </c>
      <c r="O496" s="11">
        <v>0</v>
      </c>
      <c r="P496" s="11">
        <v>0</v>
      </c>
      <c r="Q496" s="13">
        <f t="shared" si="52"/>
        <v>0</v>
      </c>
      <c r="R496" s="11">
        <v>0</v>
      </c>
      <c r="S496" s="13">
        <f t="shared" si="53"/>
        <v>0</v>
      </c>
      <c r="T496" s="9">
        <v>0</v>
      </c>
      <c r="U496" s="13">
        <f t="shared" si="54"/>
        <v>0</v>
      </c>
      <c r="V496" s="12">
        <f t="shared" si="55"/>
        <v>0</v>
      </c>
      <c r="W496" s="17">
        <f>COUNTIFS(源数据[日期],源数据[[#This Row],[日期]],源数据[账号id],源数据[[#This Row],[账号id]])</f>
        <v>1</v>
      </c>
      <c r="X496" s="15">
        <f>IFERROR(源数据[[#This Row],[点击量]]/源数据[[#This Row],[展示量]],"")</f>
        <v>0</v>
      </c>
      <c r="Y496" s="16">
        <f>IFERROR(源数据[[#This Row],[播放量]]/源数据[[#This Row],[展示量]],"")</f>
        <v>0</v>
      </c>
      <c r="Z496" s="16" t="str">
        <f>IFERROR(源数据[[#This Row],[三连投放总消耗(毫分)]]/源数据[[#This Row],[播放量]],"")</f>
        <v/>
      </c>
      <c r="AA49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97" s="2" customFormat="1" spans="1:27">
      <c r="A497" s="7">
        <v>46204</v>
      </c>
      <c r="B497" s="8" t="s">
        <v>1089</v>
      </c>
      <c r="C497" s="8" t="s">
        <v>1090</v>
      </c>
      <c r="D497" s="8" t="s">
        <v>91</v>
      </c>
      <c r="E497" s="8" t="s">
        <v>92</v>
      </c>
      <c r="F497" s="8" t="s">
        <v>96</v>
      </c>
      <c r="G497" s="9">
        <v>104</v>
      </c>
      <c r="H497" s="9">
        <v>0</v>
      </c>
      <c r="I497" s="10">
        <v>0.01477</v>
      </c>
      <c r="J497" s="11">
        <v>0.01</v>
      </c>
      <c r="K497" s="12">
        <f t="shared" si="49"/>
        <v>0</v>
      </c>
      <c r="L497" s="13">
        <f t="shared" si="50"/>
        <v>0.142019230769231</v>
      </c>
      <c r="M497" s="13">
        <f t="shared" si="51"/>
        <v>0</v>
      </c>
      <c r="N497" s="11">
        <v>0</v>
      </c>
      <c r="O497" s="11">
        <v>0</v>
      </c>
      <c r="P497" s="11">
        <v>0</v>
      </c>
      <c r="Q497" s="13">
        <f t="shared" si="52"/>
        <v>0</v>
      </c>
      <c r="R497" s="11">
        <v>0</v>
      </c>
      <c r="S497" s="13">
        <f t="shared" si="53"/>
        <v>0</v>
      </c>
      <c r="T497" s="9">
        <v>1</v>
      </c>
      <c r="U497" s="13">
        <f t="shared" si="54"/>
        <v>67.7048070412999</v>
      </c>
      <c r="V497" s="12">
        <f t="shared" si="55"/>
        <v>0.00961538461538462</v>
      </c>
      <c r="W497" s="17">
        <f>COUNTIFS(源数据[日期],源数据[[#This Row],[日期]],源数据[账号id],源数据[[#This Row],[账号id]])</f>
        <v>1</v>
      </c>
      <c r="X497" s="15">
        <f>IFERROR(源数据[[#This Row],[点击量]]/源数据[[#This Row],[展示量]],"")</f>
        <v>0</v>
      </c>
      <c r="Y497" s="16">
        <f>IFERROR(源数据[[#This Row],[播放量]]/源数据[[#This Row],[展示量]],"")</f>
        <v>0.00961538461538462</v>
      </c>
      <c r="Z497" s="16">
        <f>IFERROR(源数据[[#This Row],[三连投放总消耗(毫分)]]/源数据[[#This Row],[播放量]],"")</f>
        <v>0.01477</v>
      </c>
      <c r="AA49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98" s="2" customFormat="1" spans="1:27">
      <c r="A498" s="7">
        <v>46204</v>
      </c>
      <c r="B498" s="8" t="s">
        <v>1091</v>
      </c>
      <c r="C498" s="8" t="s">
        <v>1092</v>
      </c>
      <c r="D498" s="8" t="s">
        <v>91</v>
      </c>
      <c r="E498" s="8" t="s">
        <v>92</v>
      </c>
      <c r="F498" s="8" t="s">
        <v>93</v>
      </c>
      <c r="G498" s="9">
        <v>3</v>
      </c>
      <c r="H498" s="9">
        <v>1</v>
      </c>
      <c r="I498" s="10">
        <v>0.01361</v>
      </c>
      <c r="J498" s="11">
        <v>0.01</v>
      </c>
      <c r="K498" s="12">
        <f t="shared" si="49"/>
        <v>0.333333333333333</v>
      </c>
      <c r="L498" s="13">
        <f t="shared" si="50"/>
        <v>4.53666666666667</v>
      </c>
      <c r="M498" s="13">
        <f t="shared" si="51"/>
        <v>0.01361</v>
      </c>
      <c r="N498" s="11">
        <v>0</v>
      </c>
      <c r="O498" s="11">
        <v>0</v>
      </c>
      <c r="P498" s="11">
        <v>0</v>
      </c>
      <c r="Q498" s="13">
        <f t="shared" si="52"/>
        <v>0</v>
      </c>
      <c r="R498" s="11">
        <v>0</v>
      </c>
      <c r="S498" s="13">
        <f t="shared" si="53"/>
        <v>0</v>
      </c>
      <c r="T498" s="9">
        <v>1</v>
      </c>
      <c r="U498" s="13">
        <f t="shared" si="54"/>
        <v>73.4753857457752</v>
      </c>
      <c r="V498" s="12">
        <f t="shared" si="55"/>
        <v>0.333333333333333</v>
      </c>
      <c r="W498" s="17">
        <f>COUNTIFS(源数据[日期],源数据[[#This Row],[日期]],源数据[账号id],源数据[[#This Row],[账号id]])</f>
        <v>1</v>
      </c>
      <c r="X498" s="15">
        <f>IFERROR(源数据[[#This Row],[点击量]]/源数据[[#This Row],[展示量]],"")</f>
        <v>0.333333333333333</v>
      </c>
      <c r="Y498" s="16">
        <f>IFERROR(源数据[[#This Row],[播放量]]/源数据[[#This Row],[展示量]],"")</f>
        <v>0.333333333333333</v>
      </c>
      <c r="Z498" s="16">
        <f>IFERROR(源数据[[#This Row],[三连投放总消耗(毫分)]]/源数据[[#This Row],[播放量]],"")</f>
        <v>0.01361</v>
      </c>
      <c r="AA49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499" s="2" customFormat="1" spans="1:27">
      <c r="A499" s="7">
        <v>46204</v>
      </c>
      <c r="B499" s="8" t="s">
        <v>1093</v>
      </c>
      <c r="C499" s="8" t="s">
        <v>1094</v>
      </c>
      <c r="D499" s="8" t="s">
        <v>91</v>
      </c>
      <c r="E499" s="8" t="s">
        <v>92</v>
      </c>
      <c r="F499" s="8" t="s">
        <v>115</v>
      </c>
      <c r="G499" s="9">
        <v>12</v>
      </c>
      <c r="H499" s="9">
        <v>0</v>
      </c>
      <c r="I499" s="10">
        <v>0.01298</v>
      </c>
      <c r="J499" s="11">
        <v>0.01</v>
      </c>
      <c r="K499" s="12">
        <f t="shared" si="49"/>
        <v>0</v>
      </c>
      <c r="L499" s="13">
        <f t="shared" si="50"/>
        <v>1.08166666666667</v>
      </c>
      <c r="M499" s="13">
        <f t="shared" si="51"/>
        <v>0</v>
      </c>
      <c r="N499" s="11">
        <v>0</v>
      </c>
      <c r="O499" s="11">
        <v>0</v>
      </c>
      <c r="P499" s="11">
        <v>0</v>
      </c>
      <c r="Q499" s="13">
        <f t="shared" si="52"/>
        <v>0</v>
      </c>
      <c r="R499" s="11">
        <v>0</v>
      </c>
      <c r="S499" s="13">
        <f t="shared" si="53"/>
        <v>0</v>
      </c>
      <c r="T499" s="9">
        <v>0</v>
      </c>
      <c r="U499" s="13">
        <f t="shared" si="54"/>
        <v>0</v>
      </c>
      <c r="V499" s="12">
        <f t="shared" si="55"/>
        <v>0</v>
      </c>
      <c r="W499" s="17">
        <f>COUNTIFS(源数据[日期],源数据[[#This Row],[日期]],源数据[账号id],源数据[[#This Row],[账号id]])</f>
        <v>1</v>
      </c>
      <c r="X499" s="15">
        <f>IFERROR(源数据[[#This Row],[点击量]]/源数据[[#This Row],[展示量]],"")</f>
        <v>0</v>
      </c>
      <c r="Y499" s="16">
        <f>IFERROR(源数据[[#This Row],[播放量]]/源数据[[#This Row],[展示量]],"")</f>
        <v>0</v>
      </c>
      <c r="Z499" s="16" t="str">
        <f>IFERROR(源数据[[#This Row],[三连投放总消耗(毫分)]]/源数据[[#This Row],[播放量]],"")</f>
        <v/>
      </c>
      <c r="AA49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00" s="2" customFormat="1" spans="1:27">
      <c r="A500" s="7">
        <v>46204</v>
      </c>
      <c r="B500" s="8" t="s">
        <v>1095</v>
      </c>
      <c r="C500" s="8" t="s">
        <v>1096</v>
      </c>
      <c r="D500" s="8" t="s">
        <v>91</v>
      </c>
      <c r="E500" s="8" t="s">
        <v>92</v>
      </c>
      <c r="F500" s="8" t="s">
        <v>152</v>
      </c>
      <c r="G500" s="9">
        <v>2</v>
      </c>
      <c r="H500" s="9">
        <v>1</v>
      </c>
      <c r="I500" s="10">
        <v>0.01297</v>
      </c>
      <c r="J500" s="11">
        <v>0.01</v>
      </c>
      <c r="K500" s="12">
        <f t="shared" si="49"/>
        <v>0.5</v>
      </c>
      <c r="L500" s="13">
        <f t="shared" si="50"/>
        <v>6.485</v>
      </c>
      <c r="M500" s="13">
        <f t="shared" si="51"/>
        <v>0.01297</v>
      </c>
      <c r="N500" s="11">
        <v>0</v>
      </c>
      <c r="O500" s="11">
        <v>0</v>
      </c>
      <c r="P500" s="11">
        <v>0</v>
      </c>
      <c r="Q500" s="13">
        <f t="shared" si="52"/>
        <v>0</v>
      </c>
      <c r="R500" s="11">
        <v>0</v>
      </c>
      <c r="S500" s="13">
        <f t="shared" si="53"/>
        <v>0</v>
      </c>
      <c r="T500" s="9">
        <v>0</v>
      </c>
      <c r="U500" s="13">
        <f t="shared" si="54"/>
        <v>0</v>
      </c>
      <c r="V500" s="12">
        <f t="shared" si="55"/>
        <v>0</v>
      </c>
      <c r="W500" s="17">
        <f>COUNTIFS(源数据[日期],源数据[[#This Row],[日期]],源数据[账号id],源数据[[#This Row],[账号id]])</f>
        <v>1</v>
      </c>
      <c r="X500" s="15">
        <f>IFERROR(源数据[[#This Row],[点击量]]/源数据[[#This Row],[展示量]],"")</f>
        <v>0.5</v>
      </c>
      <c r="Y500" s="16">
        <f>IFERROR(源数据[[#This Row],[播放量]]/源数据[[#This Row],[展示量]],"")</f>
        <v>0</v>
      </c>
      <c r="Z500" s="16" t="str">
        <f>IFERROR(源数据[[#This Row],[三连投放总消耗(毫分)]]/源数据[[#This Row],[播放量]],"")</f>
        <v/>
      </c>
      <c r="AA50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01" s="2" customFormat="1" spans="1:27">
      <c r="A501" s="7">
        <v>46204</v>
      </c>
      <c r="B501" s="8" t="s">
        <v>1097</v>
      </c>
      <c r="C501" s="8" t="s">
        <v>1098</v>
      </c>
      <c r="D501" s="8" t="s">
        <v>91</v>
      </c>
      <c r="E501" s="8" t="s">
        <v>92</v>
      </c>
      <c r="F501" s="8" t="s">
        <v>748</v>
      </c>
      <c r="G501" s="9">
        <v>20</v>
      </c>
      <c r="H501" s="9">
        <v>1</v>
      </c>
      <c r="I501" s="10">
        <v>0.01106</v>
      </c>
      <c r="J501" s="11">
        <v>0.01</v>
      </c>
      <c r="K501" s="12">
        <f t="shared" si="49"/>
        <v>0.05</v>
      </c>
      <c r="L501" s="13">
        <f t="shared" si="50"/>
        <v>0.553</v>
      </c>
      <c r="M501" s="13">
        <f t="shared" si="51"/>
        <v>0.01106</v>
      </c>
      <c r="N501" s="11">
        <v>0</v>
      </c>
      <c r="O501" s="11">
        <v>0</v>
      </c>
      <c r="P501" s="11">
        <v>0</v>
      </c>
      <c r="Q501" s="13">
        <f t="shared" si="52"/>
        <v>0</v>
      </c>
      <c r="R501" s="11">
        <v>0</v>
      </c>
      <c r="S501" s="13">
        <f t="shared" si="53"/>
        <v>0</v>
      </c>
      <c r="T501" s="9">
        <v>0</v>
      </c>
      <c r="U501" s="13">
        <f t="shared" si="54"/>
        <v>0</v>
      </c>
      <c r="V501" s="12">
        <f t="shared" si="55"/>
        <v>0</v>
      </c>
      <c r="W501" s="17">
        <f>COUNTIFS(源数据[日期],源数据[[#This Row],[日期]],源数据[账号id],源数据[[#This Row],[账号id]])</f>
        <v>1</v>
      </c>
      <c r="X501" s="15">
        <f>IFERROR(源数据[[#This Row],[点击量]]/源数据[[#This Row],[展示量]],"")</f>
        <v>0.05</v>
      </c>
      <c r="Y501" s="16">
        <f>IFERROR(源数据[[#This Row],[播放量]]/源数据[[#This Row],[展示量]],"")</f>
        <v>0</v>
      </c>
      <c r="Z501" s="16" t="str">
        <f>IFERROR(源数据[[#This Row],[三连投放总消耗(毫分)]]/源数据[[#This Row],[播放量]],"")</f>
        <v/>
      </c>
      <c r="AA50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02" s="2" customFormat="1" spans="1:27">
      <c r="A502" s="7">
        <v>46204</v>
      </c>
      <c r="B502" s="8" t="s">
        <v>1099</v>
      </c>
      <c r="C502" s="8" t="s">
        <v>1100</v>
      </c>
      <c r="D502" s="8" t="s">
        <v>91</v>
      </c>
      <c r="E502" s="8" t="s">
        <v>92</v>
      </c>
      <c r="F502" s="8" t="s">
        <v>152</v>
      </c>
      <c r="G502" s="9">
        <v>4</v>
      </c>
      <c r="H502" s="9">
        <v>1</v>
      </c>
      <c r="I502" s="10">
        <v>0.01032</v>
      </c>
      <c r="J502" s="11">
        <v>0</v>
      </c>
      <c r="K502" s="12">
        <f t="shared" si="49"/>
        <v>0.25</v>
      </c>
      <c r="L502" s="13">
        <f t="shared" si="50"/>
        <v>2.58</v>
      </c>
      <c r="M502" s="13">
        <f t="shared" si="51"/>
        <v>0.01032</v>
      </c>
      <c r="N502" s="11">
        <v>0</v>
      </c>
      <c r="O502" s="11">
        <v>0</v>
      </c>
      <c r="P502" s="11">
        <v>0</v>
      </c>
      <c r="Q502" s="13">
        <f t="shared" si="52"/>
        <v>0</v>
      </c>
      <c r="R502" s="11">
        <v>0</v>
      </c>
      <c r="S502" s="13">
        <f t="shared" si="53"/>
        <v>0</v>
      </c>
      <c r="T502" s="9">
        <v>0</v>
      </c>
      <c r="U502" s="13">
        <f t="shared" si="54"/>
        <v>0</v>
      </c>
      <c r="V502" s="12">
        <f t="shared" si="55"/>
        <v>0</v>
      </c>
      <c r="W502" s="17">
        <f>COUNTIFS(源数据[日期],源数据[[#This Row],[日期]],源数据[账号id],源数据[[#This Row],[账号id]])</f>
        <v>1</v>
      </c>
      <c r="X502" s="15">
        <f>IFERROR(源数据[[#This Row],[点击量]]/源数据[[#This Row],[展示量]],"")</f>
        <v>0.25</v>
      </c>
      <c r="Y502" s="16">
        <f>IFERROR(源数据[[#This Row],[播放量]]/源数据[[#This Row],[展示量]],"")</f>
        <v>0</v>
      </c>
      <c r="Z502" s="16" t="str">
        <f>IFERROR(源数据[[#This Row],[三连投放总消耗(毫分)]]/源数据[[#This Row],[播放量]],"")</f>
        <v/>
      </c>
      <c r="AA50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03" s="2" customFormat="1" spans="1:27">
      <c r="A503" s="7">
        <v>46204</v>
      </c>
      <c r="B503" s="8" t="s">
        <v>1101</v>
      </c>
      <c r="C503" s="8" t="s">
        <v>1102</v>
      </c>
      <c r="D503" s="8" t="s">
        <v>91</v>
      </c>
      <c r="E503" s="8" t="s">
        <v>92</v>
      </c>
      <c r="F503" s="8" t="s">
        <v>96</v>
      </c>
      <c r="G503" s="9">
        <v>320</v>
      </c>
      <c r="H503" s="9">
        <v>0</v>
      </c>
      <c r="I503" s="10">
        <v>0.01015</v>
      </c>
      <c r="J503" s="11">
        <v>0.01</v>
      </c>
      <c r="K503" s="12">
        <f t="shared" si="49"/>
        <v>0</v>
      </c>
      <c r="L503" s="13">
        <f t="shared" si="50"/>
        <v>0.03171875</v>
      </c>
      <c r="M503" s="13">
        <f t="shared" si="51"/>
        <v>0</v>
      </c>
      <c r="N503" s="11">
        <v>0</v>
      </c>
      <c r="O503" s="11">
        <v>0</v>
      </c>
      <c r="P503" s="11">
        <v>0</v>
      </c>
      <c r="Q503" s="13">
        <f t="shared" si="52"/>
        <v>0</v>
      </c>
      <c r="R503" s="11">
        <v>0</v>
      </c>
      <c r="S503" s="13">
        <f t="shared" si="53"/>
        <v>0</v>
      </c>
      <c r="T503" s="9">
        <v>1</v>
      </c>
      <c r="U503" s="13">
        <f t="shared" si="54"/>
        <v>98.5221674876847</v>
      </c>
      <c r="V503" s="12">
        <f t="shared" si="55"/>
        <v>0.003125</v>
      </c>
      <c r="W503" s="17">
        <f>COUNTIFS(源数据[日期],源数据[[#This Row],[日期]],源数据[账号id],源数据[[#This Row],[账号id]])</f>
        <v>1</v>
      </c>
      <c r="X503" s="15">
        <f>IFERROR(源数据[[#This Row],[点击量]]/源数据[[#This Row],[展示量]],"")</f>
        <v>0</v>
      </c>
      <c r="Y503" s="16">
        <f>IFERROR(源数据[[#This Row],[播放量]]/源数据[[#This Row],[展示量]],"")</f>
        <v>0.003125</v>
      </c>
      <c r="Z503" s="16">
        <f>IFERROR(源数据[[#This Row],[三连投放总消耗(毫分)]]/源数据[[#This Row],[播放量]],"")</f>
        <v>0.01015</v>
      </c>
      <c r="AA50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04" s="2" customFormat="1" spans="1:27">
      <c r="A504" s="7">
        <v>46204</v>
      </c>
      <c r="B504" s="8" t="s">
        <v>1103</v>
      </c>
      <c r="C504" s="8" t="s">
        <v>1104</v>
      </c>
      <c r="D504" s="8" t="s">
        <v>91</v>
      </c>
      <c r="E504" s="8" t="s">
        <v>92</v>
      </c>
      <c r="F504" s="8" t="s">
        <v>93</v>
      </c>
      <c r="G504" s="9">
        <v>10</v>
      </c>
      <c r="H504" s="9">
        <v>1</v>
      </c>
      <c r="I504" s="10">
        <v>0.00959</v>
      </c>
      <c r="J504" s="11">
        <v>0.01</v>
      </c>
      <c r="K504" s="12">
        <f t="shared" si="49"/>
        <v>0.1</v>
      </c>
      <c r="L504" s="13">
        <f t="shared" si="50"/>
        <v>0.959</v>
      </c>
      <c r="M504" s="13">
        <f t="shared" si="51"/>
        <v>0.00959</v>
      </c>
      <c r="N504" s="11">
        <v>0</v>
      </c>
      <c r="O504" s="11">
        <v>0</v>
      </c>
      <c r="P504" s="11">
        <v>0</v>
      </c>
      <c r="Q504" s="13">
        <f t="shared" si="52"/>
        <v>0</v>
      </c>
      <c r="R504" s="11">
        <v>0</v>
      </c>
      <c r="S504" s="13">
        <f t="shared" si="53"/>
        <v>0</v>
      </c>
      <c r="T504" s="9">
        <v>1</v>
      </c>
      <c r="U504" s="13">
        <f t="shared" si="54"/>
        <v>104.275286757039</v>
      </c>
      <c r="V504" s="12">
        <f t="shared" si="55"/>
        <v>0.1</v>
      </c>
      <c r="W504" s="17">
        <f>COUNTIFS(源数据[日期],源数据[[#This Row],[日期]],源数据[账号id],源数据[[#This Row],[账号id]])</f>
        <v>1</v>
      </c>
      <c r="X504" s="15">
        <f>IFERROR(源数据[[#This Row],[点击量]]/源数据[[#This Row],[展示量]],"")</f>
        <v>0.1</v>
      </c>
      <c r="Y504" s="16">
        <f>IFERROR(源数据[[#This Row],[播放量]]/源数据[[#This Row],[展示量]],"")</f>
        <v>0.1</v>
      </c>
      <c r="Z504" s="16">
        <f>IFERROR(源数据[[#This Row],[三连投放总消耗(毫分)]]/源数据[[#This Row],[播放量]],"")</f>
        <v>0.00959</v>
      </c>
      <c r="AA50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05" s="2" customFormat="1" spans="1:27">
      <c r="A505" s="7">
        <v>46204</v>
      </c>
      <c r="B505" s="8" t="s">
        <v>1105</v>
      </c>
      <c r="C505" s="8" t="s">
        <v>1106</v>
      </c>
      <c r="D505" s="8" t="s">
        <v>91</v>
      </c>
      <c r="E505" s="8" t="s">
        <v>92</v>
      </c>
      <c r="F505" s="8" t="s">
        <v>152</v>
      </c>
      <c r="G505" s="9">
        <v>3</v>
      </c>
      <c r="H505" s="9">
        <v>0</v>
      </c>
      <c r="I505" s="10">
        <v>0.00957</v>
      </c>
      <c r="J505" s="11">
        <v>0</v>
      </c>
      <c r="K505" s="12">
        <f t="shared" si="49"/>
        <v>0</v>
      </c>
      <c r="L505" s="13">
        <f t="shared" si="50"/>
        <v>3.19</v>
      </c>
      <c r="M505" s="13">
        <f t="shared" si="51"/>
        <v>0</v>
      </c>
      <c r="N505" s="11">
        <v>0</v>
      </c>
      <c r="O505" s="11">
        <v>0</v>
      </c>
      <c r="P505" s="11">
        <v>0</v>
      </c>
      <c r="Q505" s="13">
        <f t="shared" si="52"/>
        <v>0</v>
      </c>
      <c r="R505" s="11">
        <v>0</v>
      </c>
      <c r="S505" s="13">
        <f t="shared" si="53"/>
        <v>0</v>
      </c>
      <c r="T505" s="9">
        <v>0</v>
      </c>
      <c r="U505" s="13">
        <f t="shared" si="54"/>
        <v>0</v>
      </c>
      <c r="V505" s="12">
        <f t="shared" si="55"/>
        <v>0</v>
      </c>
      <c r="W505" s="17">
        <f>COUNTIFS(源数据[日期],源数据[[#This Row],[日期]],源数据[账号id],源数据[[#This Row],[账号id]])</f>
        <v>1</v>
      </c>
      <c r="X505" s="15">
        <f>IFERROR(源数据[[#This Row],[点击量]]/源数据[[#This Row],[展示量]],"")</f>
        <v>0</v>
      </c>
      <c r="Y505" s="16">
        <f>IFERROR(源数据[[#This Row],[播放量]]/源数据[[#This Row],[展示量]],"")</f>
        <v>0</v>
      </c>
      <c r="Z505" s="16" t="str">
        <f>IFERROR(源数据[[#This Row],[三连投放总消耗(毫分)]]/源数据[[#This Row],[播放量]],"")</f>
        <v/>
      </c>
      <c r="AA50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06" s="2" customFormat="1" spans="1:27">
      <c r="A506" s="7">
        <v>46204</v>
      </c>
      <c r="B506" s="8" t="s">
        <v>1107</v>
      </c>
      <c r="C506" s="8" t="s">
        <v>1108</v>
      </c>
      <c r="D506" s="8" t="s">
        <v>91</v>
      </c>
      <c r="E506" s="8" t="s">
        <v>92</v>
      </c>
      <c r="F506" s="8" t="s">
        <v>110</v>
      </c>
      <c r="G506" s="9">
        <v>6</v>
      </c>
      <c r="H506" s="9">
        <v>0</v>
      </c>
      <c r="I506" s="10">
        <v>0.00775</v>
      </c>
      <c r="J506" s="11">
        <v>0</v>
      </c>
      <c r="K506" s="12">
        <f t="shared" si="49"/>
        <v>0</v>
      </c>
      <c r="L506" s="13">
        <f t="shared" si="50"/>
        <v>1.29166666666667</v>
      </c>
      <c r="M506" s="13">
        <f t="shared" si="51"/>
        <v>0</v>
      </c>
      <c r="N506" s="11">
        <v>0</v>
      </c>
      <c r="O506" s="11">
        <v>0</v>
      </c>
      <c r="P506" s="11">
        <v>0</v>
      </c>
      <c r="Q506" s="13">
        <f t="shared" si="52"/>
        <v>0</v>
      </c>
      <c r="R506" s="11">
        <v>0</v>
      </c>
      <c r="S506" s="13">
        <f t="shared" si="53"/>
        <v>0</v>
      </c>
      <c r="T506" s="9">
        <v>0</v>
      </c>
      <c r="U506" s="13">
        <f t="shared" si="54"/>
        <v>0</v>
      </c>
      <c r="V506" s="12">
        <f t="shared" si="55"/>
        <v>0</v>
      </c>
      <c r="W506" s="17">
        <f>COUNTIFS(源数据[日期],源数据[[#This Row],[日期]],源数据[账号id],源数据[[#This Row],[账号id]])</f>
        <v>1</v>
      </c>
      <c r="X506" s="15">
        <f>IFERROR(源数据[[#This Row],[点击量]]/源数据[[#This Row],[展示量]],"")</f>
        <v>0</v>
      </c>
      <c r="Y506" s="16">
        <f>IFERROR(源数据[[#This Row],[播放量]]/源数据[[#This Row],[展示量]],"")</f>
        <v>0</v>
      </c>
      <c r="Z506" s="16" t="str">
        <f>IFERROR(源数据[[#This Row],[三连投放总消耗(毫分)]]/源数据[[#This Row],[播放量]],"")</f>
        <v/>
      </c>
      <c r="AA50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07" s="2" customFormat="1" spans="1:27">
      <c r="A507" s="7">
        <v>46204</v>
      </c>
      <c r="B507" s="8" t="s">
        <v>1109</v>
      </c>
      <c r="C507" s="8" t="s">
        <v>1110</v>
      </c>
      <c r="D507" s="8" t="s">
        <v>91</v>
      </c>
      <c r="E507" s="8" t="s">
        <v>92</v>
      </c>
      <c r="F507" s="8" t="s">
        <v>115</v>
      </c>
      <c r="G507" s="9">
        <v>1</v>
      </c>
      <c r="H507" s="9">
        <v>0</v>
      </c>
      <c r="I507" s="10">
        <v>0.00775</v>
      </c>
      <c r="J507" s="11">
        <v>0</v>
      </c>
      <c r="K507" s="12">
        <f t="shared" si="49"/>
        <v>0</v>
      </c>
      <c r="L507" s="13">
        <f t="shared" si="50"/>
        <v>7.75</v>
      </c>
      <c r="M507" s="13">
        <f t="shared" si="51"/>
        <v>0</v>
      </c>
      <c r="N507" s="11">
        <v>0</v>
      </c>
      <c r="O507" s="11">
        <v>0</v>
      </c>
      <c r="P507" s="11">
        <v>0</v>
      </c>
      <c r="Q507" s="13">
        <f t="shared" si="52"/>
        <v>0</v>
      </c>
      <c r="R507" s="11">
        <v>0</v>
      </c>
      <c r="S507" s="13">
        <f t="shared" si="53"/>
        <v>0</v>
      </c>
      <c r="T507" s="9">
        <v>0</v>
      </c>
      <c r="U507" s="13">
        <f t="shared" si="54"/>
        <v>0</v>
      </c>
      <c r="V507" s="12">
        <f t="shared" si="55"/>
        <v>0</v>
      </c>
      <c r="W507" s="17">
        <f>COUNTIFS(源数据[日期],源数据[[#This Row],[日期]],源数据[账号id],源数据[[#This Row],[账号id]])</f>
        <v>1</v>
      </c>
      <c r="X507" s="15">
        <f>IFERROR(源数据[[#This Row],[点击量]]/源数据[[#This Row],[展示量]],"")</f>
        <v>0</v>
      </c>
      <c r="Y507" s="16">
        <f>IFERROR(源数据[[#This Row],[播放量]]/源数据[[#This Row],[展示量]],"")</f>
        <v>0</v>
      </c>
      <c r="Z507" s="16" t="str">
        <f>IFERROR(源数据[[#This Row],[三连投放总消耗(毫分)]]/源数据[[#This Row],[播放量]],"")</f>
        <v/>
      </c>
      <c r="AA50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08" s="2" customFormat="1" spans="1:27">
      <c r="A508" s="7">
        <v>46204</v>
      </c>
      <c r="B508" s="8" t="s">
        <v>1111</v>
      </c>
      <c r="C508" s="8" t="s">
        <v>1112</v>
      </c>
      <c r="D508" s="8" t="s">
        <v>91</v>
      </c>
      <c r="E508" s="8" t="s">
        <v>92</v>
      </c>
      <c r="F508" s="8" t="s">
        <v>96</v>
      </c>
      <c r="G508" s="9">
        <v>378</v>
      </c>
      <c r="H508" s="9">
        <v>0</v>
      </c>
      <c r="I508" s="10">
        <v>0.00716</v>
      </c>
      <c r="J508" s="11">
        <v>0</v>
      </c>
      <c r="K508" s="12">
        <f t="shared" si="49"/>
        <v>0</v>
      </c>
      <c r="L508" s="13">
        <f t="shared" si="50"/>
        <v>0.0189417989417989</v>
      </c>
      <c r="M508" s="13">
        <f t="shared" si="51"/>
        <v>0</v>
      </c>
      <c r="N508" s="11">
        <v>0</v>
      </c>
      <c r="O508" s="11">
        <v>0</v>
      </c>
      <c r="P508" s="11">
        <v>0</v>
      </c>
      <c r="Q508" s="13">
        <f t="shared" si="52"/>
        <v>0</v>
      </c>
      <c r="R508" s="11">
        <v>0</v>
      </c>
      <c r="S508" s="13">
        <f t="shared" si="53"/>
        <v>0</v>
      </c>
      <c r="T508" s="9">
        <v>1</v>
      </c>
      <c r="U508" s="13">
        <f t="shared" si="54"/>
        <v>139.664804469274</v>
      </c>
      <c r="V508" s="12">
        <f t="shared" si="55"/>
        <v>0.00264550264550265</v>
      </c>
      <c r="W508" s="17">
        <f>COUNTIFS(源数据[日期],源数据[[#This Row],[日期]],源数据[账号id],源数据[[#This Row],[账号id]])</f>
        <v>1</v>
      </c>
      <c r="X508" s="15">
        <f>IFERROR(源数据[[#This Row],[点击量]]/源数据[[#This Row],[展示量]],"")</f>
        <v>0</v>
      </c>
      <c r="Y508" s="16">
        <f>IFERROR(源数据[[#This Row],[播放量]]/源数据[[#This Row],[展示量]],"")</f>
        <v>0.00264550264550265</v>
      </c>
      <c r="Z508" s="16">
        <f>IFERROR(源数据[[#This Row],[三连投放总消耗(毫分)]]/源数据[[#This Row],[播放量]],"")</f>
        <v>0.00716</v>
      </c>
      <c r="AA50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09" s="2" customFormat="1" spans="1:27">
      <c r="A509" s="7">
        <v>46204</v>
      </c>
      <c r="B509" s="8" t="s">
        <v>1113</v>
      </c>
      <c r="C509" s="8" t="s">
        <v>1114</v>
      </c>
      <c r="D509" s="8" t="s">
        <v>91</v>
      </c>
      <c r="E509" s="8" t="s">
        <v>92</v>
      </c>
      <c r="F509" s="8" t="s">
        <v>748</v>
      </c>
      <c r="G509" s="9">
        <v>1</v>
      </c>
      <c r="H509" s="9">
        <v>0</v>
      </c>
      <c r="I509" s="10">
        <v>0.00675</v>
      </c>
      <c r="J509" s="11">
        <v>0</v>
      </c>
      <c r="K509" s="12">
        <f t="shared" si="49"/>
        <v>0</v>
      </c>
      <c r="L509" s="13">
        <f t="shared" si="50"/>
        <v>6.75</v>
      </c>
      <c r="M509" s="13">
        <f t="shared" si="51"/>
        <v>0</v>
      </c>
      <c r="N509" s="11">
        <v>0</v>
      </c>
      <c r="O509" s="11">
        <v>0</v>
      </c>
      <c r="P509" s="11">
        <v>0</v>
      </c>
      <c r="Q509" s="13">
        <f t="shared" si="52"/>
        <v>0</v>
      </c>
      <c r="R509" s="11">
        <v>0</v>
      </c>
      <c r="S509" s="13">
        <f t="shared" si="53"/>
        <v>0</v>
      </c>
      <c r="T509" s="9">
        <v>0</v>
      </c>
      <c r="U509" s="13">
        <f t="shared" si="54"/>
        <v>0</v>
      </c>
      <c r="V509" s="12">
        <f t="shared" si="55"/>
        <v>0</v>
      </c>
      <c r="W509" s="17">
        <f>COUNTIFS(源数据[日期],源数据[[#This Row],[日期]],源数据[账号id],源数据[[#This Row],[账号id]])</f>
        <v>1</v>
      </c>
      <c r="X509" s="15">
        <f>IFERROR(源数据[[#This Row],[点击量]]/源数据[[#This Row],[展示量]],"")</f>
        <v>0</v>
      </c>
      <c r="Y509" s="16">
        <f>IFERROR(源数据[[#This Row],[播放量]]/源数据[[#This Row],[展示量]],"")</f>
        <v>0</v>
      </c>
      <c r="Z509" s="16" t="str">
        <f>IFERROR(源数据[[#This Row],[三连投放总消耗(毫分)]]/源数据[[#This Row],[播放量]],"")</f>
        <v/>
      </c>
      <c r="AA50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10" s="2" customFormat="1" spans="1:27">
      <c r="A510" s="7">
        <v>46204</v>
      </c>
      <c r="B510" s="8" t="s">
        <v>1115</v>
      </c>
      <c r="C510" s="8" t="s">
        <v>1116</v>
      </c>
      <c r="D510" s="8" t="s">
        <v>91</v>
      </c>
      <c r="E510" s="8" t="s">
        <v>92</v>
      </c>
      <c r="F510" s="8" t="s">
        <v>96</v>
      </c>
      <c r="G510" s="9">
        <v>28</v>
      </c>
      <c r="H510" s="9">
        <v>0</v>
      </c>
      <c r="I510" s="10">
        <v>0.00654</v>
      </c>
      <c r="J510" s="11">
        <v>0</v>
      </c>
      <c r="K510" s="12">
        <f t="shared" si="49"/>
        <v>0</v>
      </c>
      <c r="L510" s="13">
        <f t="shared" si="50"/>
        <v>0.233571428571429</v>
      </c>
      <c r="M510" s="13">
        <f t="shared" si="51"/>
        <v>0</v>
      </c>
      <c r="N510" s="11">
        <v>0</v>
      </c>
      <c r="O510" s="11">
        <v>0</v>
      </c>
      <c r="P510" s="11">
        <v>0</v>
      </c>
      <c r="Q510" s="13">
        <f t="shared" si="52"/>
        <v>0</v>
      </c>
      <c r="R510" s="11">
        <v>0</v>
      </c>
      <c r="S510" s="13">
        <f t="shared" si="53"/>
        <v>0</v>
      </c>
      <c r="T510" s="9">
        <v>0</v>
      </c>
      <c r="U510" s="13">
        <f t="shared" si="54"/>
        <v>0</v>
      </c>
      <c r="V510" s="12">
        <f t="shared" si="55"/>
        <v>0</v>
      </c>
      <c r="W510" s="18">
        <f>COUNTIFS(源数据[日期],源数据[[#This Row],[日期]],源数据[账号id],源数据[[#This Row],[账号id]])</f>
        <v>1</v>
      </c>
      <c r="X510" s="15">
        <f>IFERROR(源数据[[#This Row],[点击量]]/源数据[[#This Row],[展示量]],"")</f>
        <v>0</v>
      </c>
      <c r="Y510" s="16">
        <f>IFERROR(源数据[[#This Row],[播放量]]/源数据[[#This Row],[展示量]],"")</f>
        <v>0</v>
      </c>
      <c r="Z510" s="16" t="str">
        <f>IFERROR(源数据[[#This Row],[三连投放总消耗(毫分)]]/源数据[[#This Row],[播放量]],"")</f>
        <v/>
      </c>
      <c r="AA51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11" s="2" customFormat="1" spans="1:27">
      <c r="A511" s="7">
        <v>46204</v>
      </c>
      <c r="B511" s="8" t="s">
        <v>1117</v>
      </c>
      <c r="C511" s="8" t="s">
        <v>1118</v>
      </c>
      <c r="D511" s="8" t="s">
        <v>91</v>
      </c>
      <c r="E511" s="8" t="s">
        <v>92</v>
      </c>
      <c r="F511" s="8" t="s">
        <v>748</v>
      </c>
      <c r="G511" s="9">
        <v>1</v>
      </c>
      <c r="H511" s="9">
        <v>0</v>
      </c>
      <c r="I511" s="10">
        <v>0.00586</v>
      </c>
      <c r="J511" s="11">
        <v>0</v>
      </c>
      <c r="K511" s="12">
        <f t="shared" si="49"/>
        <v>0</v>
      </c>
      <c r="L511" s="13">
        <f t="shared" si="50"/>
        <v>5.86</v>
      </c>
      <c r="M511" s="13">
        <f t="shared" si="51"/>
        <v>0</v>
      </c>
      <c r="N511" s="11">
        <v>0</v>
      </c>
      <c r="O511" s="11">
        <v>0</v>
      </c>
      <c r="P511" s="11">
        <v>0</v>
      </c>
      <c r="Q511" s="13">
        <f t="shared" si="52"/>
        <v>0</v>
      </c>
      <c r="R511" s="11">
        <v>0</v>
      </c>
      <c r="S511" s="13">
        <f t="shared" si="53"/>
        <v>0</v>
      </c>
      <c r="T511" s="9">
        <v>0</v>
      </c>
      <c r="U511" s="13">
        <f t="shared" si="54"/>
        <v>0</v>
      </c>
      <c r="V511" s="12">
        <f t="shared" si="55"/>
        <v>0</v>
      </c>
      <c r="W511" s="18">
        <f>COUNTIFS(源数据[日期],源数据[[#This Row],[日期]],源数据[账号id],源数据[[#This Row],[账号id]])</f>
        <v>1</v>
      </c>
      <c r="X511" s="15">
        <f>IFERROR(源数据[[#This Row],[点击量]]/源数据[[#This Row],[展示量]],"")</f>
        <v>0</v>
      </c>
      <c r="Y511" s="16">
        <f>IFERROR(源数据[[#This Row],[播放量]]/源数据[[#This Row],[展示量]],"")</f>
        <v>0</v>
      </c>
      <c r="Z511" s="16" t="str">
        <f>IFERROR(源数据[[#This Row],[三连投放总消耗(毫分)]]/源数据[[#This Row],[播放量]],"")</f>
        <v/>
      </c>
      <c r="AA51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12" s="2" customFormat="1" spans="1:27">
      <c r="A512" s="7">
        <v>46204</v>
      </c>
      <c r="B512" s="8" t="s">
        <v>1119</v>
      </c>
      <c r="C512" s="8" t="s">
        <v>1120</v>
      </c>
      <c r="D512" s="8" t="s">
        <v>91</v>
      </c>
      <c r="E512" s="8" t="s">
        <v>92</v>
      </c>
      <c r="F512" s="8" t="s">
        <v>748</v>
      </c>
      <c r="G512" s="9">
        <v>13</v>
      </c>
      <c r="H512" s="9">
        <v>0</v>
      </c>
      <c r="I512" s="10">
        <v>0.00568</v>
      </c>
      <c r="J512" s="11">
        <v>0</v>
      </c>
      <c r="K512" s="12">
        <f t="shared" si="49"/>
        <v>0</v>
      </c>
      <c r="L512" s="13">
        <f t="shared" si="50"/>
        <v>0.436923076923077</v>
      </c>
      <c r="M512" s="13">
        <f t="shared" si="51"/>
        <v>0</v>
      </c>
      <c r="N512" s="11">
        <v>0</v>
      </c>
      <c r="O512" s="11">
        <v>0</v>
      </c>
      <c r="P512" s="11">
        <v>0</v>
      </c>
      <c r="Q512" s="13">
        <f t="shared" si="52"/>
        <v>0</v>
      </c>
      <c r="R512" s="11">
        <v>0</v>
      </c>
      <c r="S512" s="13">
        <f t="shared" si="53"/>
        <v>0</v>
      </c>
      <c r="T512" s="9">
        <v>0</v>
      </c>
      <c r="U512" s="13">
        <f t="shared" si="54"/>
        <v>0</v>
      </c>
      <c r="V512" s="12">
        <f t="shared" si="55"/>
        <v>0</v>
      </c>
      <c r="W512" s="18">
        <f>COUNTIFS(源数据[日期],源数据[[#This Row],[日期]],源数据[账号id],源数据[[#This Row],[账号id]])</f>
        <v>1</v>
      </c>
      <c r="X512" s="15">
        <f>IFERROR(源数据[[#This Row],[点击量]]/源数据[[#This Row],[展示量]],"")</f>
        <v>0</v>
      </c>
      <c r="Y512" s="16">
        <f>IFERROR(源数据[[#This Row],[播放量]]/源数据[[#This Row],[展示量]],"")</f>
        <v>0</v>
      </c>
      <c r="Z512" s="16" t="str">
        <f>IFERROR(源数据[[#This Row],[三连投放总消耗(毫分)]]/源数据[[#This Row],[播放量]],"")</f>
        <v/>
      </c>
      <c r="AA51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13" s="2" customFormat="1" spans="1:27">
      <c r="A513" s="7">
        <v>46204</v>
      </c>
      <c r="B513" s="8" t="s">
        <v>1121</v>
      </c>
      <c r="C513" s="8" t="s">
        <v>1122</v>
      </c>
      <c r="D513" s="8" t="s">
        <v>91</v>
      </c>
      <c r="E513" s="8" t="s">
        <v>92</v>
      </c>
      <c r="F513" s="8" t="s">
        <v>748</v>
      </c>
      <c r="G513" s="9">
        <v>1</v>
      </c>
      <c r="H513" s="9">
        <v>0</v>
      </c>
      <c r="I513" s="10">
        <v>0.00509</v>
      </c>
      <c r="J513" s="11">
        <v>0</v>
      </c>
      <c r="K513" s="12">
        <f t="shared" si="49"/>
        <v>0</v>
      </c>
      <c r="L513" s="13">
        <f t="shared" si="50"/>
        <v>5.09</v>
      </c>
      <c r="M513" s="13">
        <f t="shared" si="51"/>
        <v>0</v>
      </c>
      <c r="N513" s="11">
        <v>0</v>
      </c>
      <c r="O513" s="11">
        <v>0</v>
      </c>
      <c r="P513" s="11">
        <v>0</v>
      </c>
      <c r="Q513" s="13">
        <f t="shared" si="52"/>
        <v>0</v>
      </c>
      <c r="R513" s="11">
        <v>0</v>
      </c>
      <c r="S513" s="13">
        <f t="shared" si="53"/>
        <v>0</v>
      </c>
      <c r="T513" s="9">
        <v>0</v>
      </c>
      <c r="U513" s="13">
        <f t="shared" si="54"/>
        <v>0</v>
      </c>
      <c r="V513" s="12">
        <f t="shared" si="55"/>
        <v>0</v>
      </c>
      <c r="W513" s="18">
        <f>COUNTIFS(源数据[日期],源数据[[#This Row],[日期]],源数据[账号id],源数据[[#This Row],[账号id]])</f>
        <v>1</v>
      </c>
      <c r="X513" s="15">
        <f>IFERROR(源数据[[#This Row],[点击量]]/源数据[[#This Row],[展示量]],"")</f>
        <v>0</v>
      </c>
      <c r="Y513" s="16">
        <f>IFERROR(源数据[[#This Row],[播放量]]/源数据[[#This Row],[展示量]],"")</f>
        <v>0</v>
      </c>
      <c r="Z513" s="16" t="str">
        <f>IFERROR(源数据[[#This Row],[三连投放总消耗(毫分)]]/源数据[[#This Row],[播放量]],"")</f>
        <v/>
      </c>
      <c r="AA51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14" s="2" customFormat="1" spans="1:27">
      <c r="A514" s="7">
        <v>46204</v>
      </c>
      <c r="B514" s="8" t="s">
        <v>1123</v>
      </c>
      <c r="C514" s="8" t="s">
        <v>1124</v>
      </c>
      <c r="D514" s="8" t="s">
        <v>91</v>
      </c>
      <c r="E514" s="8" t="s">
        <v>92</v>
      </c>
      <c r="F514" s="8" t="s">
        <v>748</v>
      </c>
      <c r="G514" s="9">
        <v>7</v>
      </c>
      <c r="H514" s="9">
        <v>0</v>
      </c>
      <c r="I514" s="10">
        <v>0.00487</v>
      </c>
      <c r="J514" s="11">
        <v>0</v>
      </c>
      <c r="K514" s="12">
        <f t="shared" ref="K514:K552" si="56">IF(G514=0,0,H514/G514)</f>
        <v>0</v>
      </c>
      <c r="L514" s="13">
        <f t="shared" ref="L514:L552" si="57">IF(G514=0,0,I514/G514*1000)</f>
        <v>0.695714285714286</v>
      </c>
      <c r="M514" s="13">
        <f t="shared" ref="M514:M552" si="58">IF(H514=0,0,I514/H514)</f>
        <v>0</v>
      </c>
      <c r="N514" s="11">
        <v>0</v>
      </c>
      <c r="O514" s="11">
        <v>0</v>
      </c>
      <c r="P514" s="11">
        <v>0</v>
      </c>
      <c r="Q514" s="13">
        <f t="shared" ref="Q514:Q552" si="59">IF(I514=0,0,P514/I514)</f>
        <v>0</v>
      </c>
      <c r="R514" s="11">
        <v>0</v>
      </c>
      <c r="S514" s="13">
        <f t="shared" ref="S514:S552" si="60">IF(I514=0,0,R514/I514)</f>
        <v>0</v>
      </c>
      <c r="T514" s="9">
        <v>0</v>
      </c>
      <c r="U514" s="13">
        <f t="shared" ref="U514:U552" si="61">IF(I514=0,0,T514/I514)</f>
        <v>0</v>
      </c>
      <c r="V514" s="12">
        <f t="shared" ref="V514:V552" si="62">IF(G514=0,0,T514/G514)</f>
        <v>0</v>
      </c>
      <c r="W514" s="18">
        <f>COUNTIFS(源数据[日期],源数据[[#This Row],[日期]],源数据[账号id],源数据[[#This Row],[账号id]])</f>
        <v>1</v>
      </c>
      <c r="X514" s="15">
        <f>IFERROR(源数据[[#This Row],[点击量]]/源数据[[#This Row],[展示量]],"")</f>
        <v>0</v>
      </c>
      <c r="Y514" s="16">
        <f>IFERROR(源数据[[#This Row],[播放量]]/源数据[[#This Row],[展示量]],"")</f>
        <v>0</v>
      </c>
      <c r="Z514" s="16" t="str">
        <f>IFERROR(源数据[[#This Row],[三连投放总消耗(毫分)]]/源数据[[#This Row],[播放量]],"")</f>
        <v/>
      </c>
      <c r="AA51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15" s="2" customFormat="1" spans="1:27">
      <c r="A515" s="7">
        <v>46204</v>
      </c>
      <c r="B515" s="8" t="s">
        <v>1125</v>
      </c>
      <c r="C515" s="8" t="s">
        <v>1126</v>
      </c>
      <c r="D515" s="8" t="s">
        <v>91</v>
      </c>
      <c r="E515" s="8" t="s">
        <v>92</v>
      </c>
      <c r="F515" s="8" t="s">
        <v>115</v>
      </c>
      <c r="G515" s="9">
        <v>3</v>
      </c>
      <c r="H515" s="9">
        <v>0</v>
      </c>
      <c r="I515" s="10">
        <v>0.00469</v>
      </c>
      <c r="J515" s="11">
        <v>0</v>
      </c>
      <c r="K515" s="12">
        <f t="shared" si="56"/>
        <v>0</v>
      </c>
      <c r="L515" s="13">
        <f t="shared" si="57"/>
        <v>1.56333333333333</v>
      </c>
      <c r="M515" s="13">
        <f t="shared" si="58"/>
        <v>0</v>
      </c>
      <c r="N515" s="11">
        <v>0</v>
      </c>
      <c r="O515" s="11">
        <v>0</v>
      </c>
      <c r="P515" s="11">
        <v>0</v>
      </c>
      <c r="Q515" s="13">
        <f t="shared" si="59"/>
        <v>0</v>
      </c>
      <c r="R515" s="11">
        <v>0</v>
      </c>
      <c r="S515" s="13">
        <f t="shared" si="60"/>
        <v>0</v>
      </c>
      <c r="T515" s="9">
        <v>0</v>
      </c>
      <c r="U515" s="13">
        <f t="shared" si="61"/>
        <v>0</v>
      </c>
      <c r="V515" s="12">
        <f t="shared" si="62"/>
        <v>0</v>
      </c>
      <c r="W515" s="18">
        <f>COUNTIFS(源数据[日期],源数据[[#This Row],[日期]],源数据[账号id],源数据[[#This Row],[账号id]])</f>
        <v>1</v>
      </c>
      <c r="X515" s="15">
        <f>IFERROR(源数据[[#This Row],[点击量]]/源数据[[#This Row],[展示量]],"")</f>
        <v>0</v>
      </c>
      <c r="Y515" s="16">
        <f>IFERROR(源数据[[#This Row],[播放量]]/源数据[[#This Row],[展示量]],"")</f>
        <v>0</v>
      </c>
      <c r="Z515" s="16" t="str">
        <f>IFERROR(源数据[[#This Row],[三连投放总消耗(毫分)]]/源数据[[#This Row],[播放量]],"")</f>
        <v/>
      </c>
      <c r="AA51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16" s="2" customFormat="1" spans="1:27">
      <c r="A516" s="7">
        <v>46204</v>
      </c>
      <c r="B516" s="8" t="s">
        <v>1127</v>
      </c>
      <c r="C516" s="8" t="s">
        <v>1128</v>
      </c>
      <c r="D516" s="8" t="s">
        <v>91</v>
      </c>
      <c r="E516" s="8" t="s">
        <v>92</v>
      </c>
      <c r="F516" s="8" t="s">
        <v>96</v>
      </c>
      <c r="G516" s="9">
        <v>45</v>
      </c>
      <c r="H516" s="9">
        <v>1</v>
      </c>
      <c r="I516" s="10">
        <v>0.00424</v>
      </c>
      <c r="J516" s="11">
        <v>0</v>
      </c>
      <c r="K516" s="12">
        <f t="shared" si="56"/>
        <v>0.0222222222222222</v>
      </c>
      <c r="L516" s="13">
        <f t="shared" si="57"/>
        <v>0.0942222222222222</v>
      </c>
      <c r="M516" s="13">
        <f t="shared" si="58"/>
        <v>0.00424</v>
      </c>
      <c r="N516" s="11">
        <v>0</v>
      </c>
      <c r="O516" s="11">
        <v>0</v>
      </c>
      <c r="P516" s="11">
        <v>0</v>
      </c>
      <c r="Q516" s="13">
        <f t="shared" si="59"/>
        <v>0</v>
      </c>
      <c r="R516" s="11">
        <v>0</v>
      </c>
      <c r="S516" s="13">
        <f t="shared" si="60"/>
        <v>0</v>
      </c>
      <c r="T516" s="9">
        <v>1</v>
      </c>
      <c r="U516" s="13">
        <f t="shared" si="61"/>
        <v>235.849056603774</v>
      </c>
      <c r="V516" s="12">
        <f t="shared" si="62"/>
        <v>0.0222222222222222</v>
      </c>
      <c r="W516" s="18">
        <f>COUNTIFS(源数据[日期],源数据[[#This Row],[日期]],源数据[账号id],源数据[[#This Row],[账号id]])</f>
        <v>1</v>
      </c>
      <c r="X516" s="15">
        <f>IFERROR(源数据[[#This Row],[点击量]]/源数据[[#This Row],[展示量]],"")</f>
        <v>0.0222222222222222</v>
      </c>
      <c r="Y516" s="16">
        <f>IFERROR(源数据[[#This Row],[播放量]]/源数据[[#This Row],[展示量]],"")</f>
        <v>0.0222222222222222</v>
      </c>
      <c r="Z516" s="16">
        <f>IFERROR(源数据[[#This Row],[三连投放总消耗(毫分)]]/源数据[[#This Row],[播放量]],"")</f>
        <v>0.00424</v>
      </c>
      <c r="AA51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17" s="2" customFormat="1" spans="1:27">
      <c r="A517" s="7">
        <v>46204</v>
      </c>
      <c r="B517" s="8" t="s">
        <v>1129</v>
      </c>
      <c r="C517" s="8" t="s">
        <v>1130</v>
      </c>
      <c r="D517" s="8" t="s">
        <v>91</v>
      </c>
      <c r="E517" s="8" t="s">
        <v>92</v>
      </c>
      <c r="F517" s="8" t="s">
        <v>96</v>
      </c>
      <c r="G517" s="9">
        <v>174</v>
      </c>
      <c r="H517" s="9">
        <v>0</v>
      </c>
      <c r="I517" s="10">
        <v>0.00389</v>
      </c>
      <c r="J517" s="11">
        <v>0</v>
      </c>
      <c r="K517" s="12">
        <f t="shared" si="56"/>
        <v>0</v>
      </c>
      <c r="L517" s="13">
        <f t="shared" si="57"/>
        <v>0.0223563218390805</v>
      </c>
      <c r="M517" s="13">
        <f t="shared" si="58"/>
        <v>0</v>
      </c>
      <c r="N517" s="11">
        <v>0</v>
      </c>
      <c r="O517" s="11">
        <v>0</v>
      </c>
      <c r="P517" s="11">
        <v>0</v>
      </c>
      <c r="Q517" s="13">
        <f t="shared" si="59"/>
        <v>0</v>
      </c>
      <c r="R517" s="11">
        <v>0</v>
      </c>
      <c r="S517" s="13">
        <f t="shared" si="60"/>
        <v>0</v>
      </c>
      <c r="T517" s="9">
        <v>0</v>
      </c>
      <c r="U517" s="13">
        <f t="shared" si="61"/>
        <v>0</v>
      </c>
      <c r="V517" s="12">
        <f t="shared" si="62"/>
        <v>0</v>
      </c>
      <c r="W517" s="18">
        <f>COUNTIFS(源数据[日期],源数据[[#This Row],[日期]],源数据[账号id],源数据[[#This Row],[账号id]])</f>
        <v>1</v>
      </c>
      <c r="X517" s="15">
        <f>IFERROR(源数据[[#This Row],[点击量]]/源数据[[#This Row],[展示量]],"")</f>
        <v>0</v>
      </c>
      <c r="Y517" s="16">
        <f>IFERROR(源数据[[#This Row],[播放量]]/源数据[[#This Row],[展示量]],"")</f>
        <v>0</v>
      </c>
      <c r="Z517" s="16" t="str">
        <f>IFERROR(源数据[[#This Row],[三连投放总消耗(毫分)]]/源数据[[#This Row],[播放量]],"")</f>
        <v/>
      </c>
      <c r="AA51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18" s="2" customFormat="1" spans="1:27">
      <c r="A518" s="7">
        <v>46204</v>
      </c>
      <c r="B518" s="8" t="s">
        <v>1131</v>
      </c>
      <c r="C518" s="8" t="s">
        <v>1132</v>
      </c>
      <c r="D518" s="8" t="s">
        <v>91</v>
      </c>
      <c r="E518" s="8" t="s">
        <v>92</v>
      </c>
      <c r="F518" s="8" t="s">
        <v>93</v>
      </c>
      <c r="G518" s="9">
        <v>1</v>
      </c>
      <c r="H518" s="9">
        <v>0</v>
      </c>
      <c r="I518" s="10">
        <v>0.00368</v>
      </c>
      <c r="J518" s="11">
        <v>0</v>
      </c>
      <c r="K518" s="12">
        <f t="shared" si="56"/>
        <v>0</v>
      </c>
      <c r="L518" s="13">
        <f t="shared" si="57"/>
        <v>3.68</v>
      </c>
      <c r="M518" s="13">
        <f t="shared" si="58"/>
        <v>0</v>
      </c>
      <c r="N518" s="11">
        <v>0</v>
      </c>
      <c r="O518" s="11">
        <v>0</v>
      </c>
      <c r="P518" s="11">
        <v>0</v>
      </c>
      <c r="Q518" s="13">
        <f t="shared" si="59"/>
        <v>0</v>
      </c>
      <c r="R518" s="11">
        <v>0</v>
      </c>
      <c r="S518" s="13">
        <f t="shared" si="60"/>
        <v>0</v>
      </c>
      <c r="T518" s="9">
        <v>0</v>
      </c>
      <c r="U518" s="13">
        <f t="shared" si="61"/>
        <v>0</v>
      </c>
      <c r="V518" s="12">
        <f t="shared" si="62"/>
        <v>0</v>
      </c>
      <c r="W518" s="18">
        <f>COUNTIFS(源数据[日期],源数据[[#This Row],[日期]],源数据[账号id],源数据[[#This Row],[账号id]])</f>
        <v>1</v>
      </c>
      <c r="X518" s="15">
        <f>IFERROR(源数据[[#This Row],[点击量]]/源数据[[#This Row],[展示量]],"")</f>
        <v>0</v>
      </c>
      <c r="Y518" s="16">
        <f>IFERROR(源数据[[#This Row],[播放量]]/源数据[[#This Row],[展示量]],"")</f>
        <v>0</v>
      </c>
      <c r="Z518" s="16" t="str">
        <f>IFERROR(源数据[[#This Row],[三连投放总消耗(毫分)]]/源数据[[#This Row],[播放量]],"")</f>
        <v/>
      </c>
      <c r="AA51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19" s="2" customFormat="1" spans="1:27">
      <c r="A519" s="7">
        <v>46204</v>
      </c>
      <c r="B519" s="8" t="s">
        <v>1133</v>
      </c>
      <c r="C519" s="8" t="s">
        <v>1134</v>
      </c>
      <c r="D519" s="8" t="s">
        <v>91</v>
      </c>
      <c r="E519" s="8" t="s">
        <v>92</v>
      </c>
      <c r="F519" s="8" t="s">
        <v>96</v>
      </c>
      <c r="G519" s="9">
        <v>363</v>
      </c>
      <c r="H519" s="9">
        <v>1</v>
      </c>
      <c r="I519" s="10">
        <v>0.00359</v>
      </c>
      <c r="J519" s="11">
        <v>0</v>
      </c>
      <c r="K519" s="12">
        <f t="shared" si="56"/>
        <v>0.00275482093663912</v>
      </c>
      <c r="L519" s="13">
        <f t="shared" si="57"/>
        <v>0.00988980716253444</v>
      </c>
      <c r="M519" s="13">
        <f t="shared" si="58"/>
        <v>0.00359</v>
      </c>
      <c r="N519" s="11">
        <v>0</v>
      </c>
      <c r="O519" s="11">
        <v>0</v>
      </c>
      <c r="P519" s="11">
        <v>0</v>
      </c>
      <c r="Q519" s="13">
        <f t="shared" si="59"/>
        <v>0</v>
      </c>
      <c r="R519" s="11">
        <v>0</v>
      </c>
      <c r="S519" s="13">
        <f t="shared" si="60"/>
        <v>0</v>
      </c>
      <c r="T519" s="9">
        <v>1</v>
      </c>
      <c r="U519" s="13">
        <f t="shared" si="61"/>
        <v>278.551532033426</v>
      </c>
      <c r="V519" s="12">
        <f t="shared" si="62"/>
        <v>0.00275482093663912</v>
      </c>
      <c r="W519" s="18">
        <f>COUNTIFS(源数据[日期],源数据[[#This Row],[日期]],源数据[账号id],源数据[[#This Row],[账号id]])</f>
        <v>1</v>
      </c>
      <c r="X519" s="15">
        <f>IFERROR(源数据[[#This Row],[点击量]]/源数据[[#This Row],[展示量]],"")</f>
        <v>0.00275482093663912</v>
      </c>
      <c r="Y519" s="16">
        <f>IFERROR(源数据[[#This Row],[播放量]]/源数据[[#This Row],[展示量]],"")</f>
        <v>0.00275482093663912</v>
      </c>
      <c r="Z519" s="16">
        <f>IFERROR(源数据[[#This Row],[三连投放总消耗(毫分)]]/源数据[[#This Row],[播放量]],"")</f>
        <v>0.00359</v>
      </c>
      <c r="AA51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20" s="2" customFormat="1" spans="1:27">
      <c r="A520" s="7">
        <v>46204</v>
      </c>
      <c r="B520" s="8" t="s">
        <v>1135</v>
      </c>
      <c r="C520" s="8" t="s">
        <v>1136</v>
      </c>
      <c r="D520" s="8" t="s">
        <v>91</v>
      </c>
      <c r="E520" s="8" t="s">
        <v>92</v>
      </c>
      <c r="F520" s="8" t="s">
        <v>93</v>
      </c>
      <c r="G520" s="9">
        <v>1</v>
      </c>
      <c r="H520" s="9">
        <v>0</v>
      </c>
      <c r="I520" s="10">
        <v>0.00303</v>
      </c>
      <c r="J520" s="11">
        <v>0</v>
      </c>
      <c r="K520" s="12">
        <f t="shared" si="56"/>
        <v>0</v>
      </c>
      <c r="L520" s="13">
        <f t="shared" si="57"/>
        <v>3.03</v>
      </c>
      <c r="M520" s="13">
        <f t="shared" si="58"/>
        <v>0</v>
      </c>
      <c r="N520" s="11">
        <v>0</v>
      </c>
      <c r="O520" s="11">
        <v>0</v>
      </c>
      <c r="P520" s="11">
        <v>0</v>
      </c>
      <c r="Q520" s="13">
        <f t="shared" si="59"/>
        <v>0</v>
      </c>
      <c r="R520" s="11">
        <v>0</v>
      </c>
      <c r="S520" s="13">
        <f t="shared" si="60"/>
        <v>0</v>
      </c>
      <c r="T520" s="9">
        <v>0</v>
      </c>
      <c r="U520" s="13">
        <f t="shared" si="61"/>
        <v>0</v>
      </c>
      <c r="V520" s="12">
        <f t="shared" si="62"/>
        <v>0</v>
      </c>
      <c r="W520" s="18">
        <f>COUNTIFS(源数据[日期],源数据[[#This Row],[日期]],源数据[账号id],源数据[[#This Row],[账号id]])</f>
        <v>1</v>
      </c>
      <c r="X520" s="15">
        <f>IFERROR(源数据[[#This Row],[点击量]]/源数据[[#This Row],[展示量]],"")</f>
        <v>0</v>
      </c>
      <c r="Y520" s="16">
        <f>IFERROR(源数据[[#This Row],[播放量]]/源数据[[#This Row],[展示量]],"")</f>
        <v>0</v>
      </c>
      <c r="Z520" s="16" t="str">
        <f>IFERROR(源数据[[#This Row],[三连投放总消耗(毫分)]]/源数据[[#This Row],[播放量]],"")</f>
        <v/>
      </c>
      <c r="AA52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21" s="2" customFormat="1" spans="1:27">
      <c r="A521" s="7">
        <v>46204</v>
      </c>
      <c r="B521" s="8" t="s">
        <v>1137</v>
      </c>
      <c r="C521" s="8" t="s">
        <v>1138</v>
      </c>
      <c r="D521" s="8" t="s">
        <v>91</v>
      </c>
      <c r="E521" s="8" t="s">
        <v>92</v>
      </c>
      <c r="F521" s="8" t="s">
        <v>748</v>
      </c>
      <c r="G521" s="9">
        <v>1</v>
      </c>
      <c r="H521" s="9">
        <v>0</v>
      </c>
      <c r="I521" s="10">
        <v>0.00303</v>
      </c>
      <c r="J521" s="11">
        <v>0</v>
      </c>
      <c r="K521" s="12">
        <f t="shared" si="56"/>
        <v>0</v>
      </c>
      <c r="L521" s="13">
        <f t="shared" si="57"/>
        <v>3.03</v>
      </c>
      <c r="M521" s="13">
        <f t="shared" si="58"/>
        <v>0</v>
      </c>
      <c r="N521" s="11">
        <v>0</v>
      </c>
      <c r="O521" s="11">
        <v>0</v>
      </c>
      <c r="P521" s="11">
        <v>0</v>
      </c>
      <c r="Q521" s="13">
        <f t="shared" si="59"/>
        <v>0</v>
      </c>
      <c r="R521" s="11">
        <v>0</v>
      </c>
      <c r="S521" s="13">
        <f t="shared" si="60"/>
        <v>0</v>
      </c>
      <c r="T521" s="9">
        <v>0</v>
      </c>
      <c r="U521" s="13">
        <f t="shared" si="61"/>
        <v>0</v>
      </c>
      <c r="V521" s="12">
        <f t="shared" si="62"/>
        <v>0</v>
      </c>
      <c r="W521" s="18">
        <f>COUNTIFS(源数据[日期],源数据[[#This Row],[日期]],源数据[账号id],源数据[[#This Row],[账号id]])</f>
        <v>1</v>
      </c>
      <c r="X521" s="15">
        <f>IFERROR(源数据[[#This Row],[点击量]]/源数据[[#This Row],[展示量]],"")</f>
        <v>0</v>
      </c>
      <c r="Y521" s="16">
        <f>IFERROR(源数据[[#This Row],[播放量]]/源数据[[#This Row],[展示量]],"")</f>
        <v>0</v>
      </c>
      <c r="Z521" s="16" t="str">
        <f>IFERROR(源数据[[#This Row],[三连投放总消耗(毫分)]]/源数据[[#This Row],[播放量]],"")</f>
        <v/>
      </c>
      <c r="AA52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22" s="2" customFormat="1" spans="1:27">
      <c r="A522" s="7">
        <v>46204</v>
      </c>
      <c r="B522" s="8" t="s">
        <v>1139</v>
      </c>
      <c r="C522" s="8" t="s">
        <v>1140</v>
      </c>
      <c r="D522" s="8" t="s">
        <v>91</v>
      </c>
      <c r="E522" s="8" t="s">
        <v>92</v>
      </c>
      <c r="F522" s="8" t="s">
        <v>115</v>
      </c>
      <c r="G522" s="9">
        <v>1</v>
      </c>
      <c r="H522" s="9">
        <v>0</v>
      </c>
      <c r="I522" s="10">
        <v>0.00277</v>
      </c>
      <c r="J522" s="11">
        <v>0</v>
      </c>
      <c r="K522" s="12">
        <f t="shared" si="56"/>
        <v>0</v>
      </c>
      <c r="L522" s="13">
        <f t="shared" si="57"/>
        <v>2.77</v>
      </c>
      <c r="M522" s="13">
        <f t="shared" si="58"/>
        <v>0</v>
      </c>
      <c r="N522" s="11">
        <v>0</v>
      </c>
      <c r="O522" s="11">
        <v>0</v>
      </c>
      <c r="P522" s="11">
        <v>0</v>
      </c>
      <c r="Q522" s="13">
        <f t="shared" si="59"/>
        <v>0</v>
      </c>
      <c r="R522" s="11">
        <v>0</v>
      </c>
      <c r="S522" s="13">
        <f t="shared" si="60"/>
        <v>0</v>
      </c>
      <c r="T522" s="9">
        <v>0</v>
      </c>
      <c r="U522" s="13">
        <f t="shared" si="61"/>
        <v>0</v>
      </c>
      <c r="V522" s="12">
        <f t="shared" si="62"/>
        <v>0</v>
      </c>
      <c r="W522" s="18">
        <f>COUNTIFS(源数据[日期],源数据[[#This Row],[日期]],源数据[账号id],源数据[[#This Row],[账号id]])</f>
        <v>1</v>
      </c>
      <c r="X522" s="15">
        <f>IFERROR(源数据[[#This Row],[点击量]]/源数据[[#This Row],[展示量]],"")</f>
        <v>0</v>
      </c>
      <c r="Y522" s="16">
        <f>IFERROR(源数据[[#This Row],[播放量]]/源数据[[#This Row],[展示量]],"")</f>
        <v>0</v>
      </c>
      <c r="Z522" s="16" t="str">
        <f>IFERROR(源数据[[#This Row],[三连投放总消耗(毫分)]]/源数据[[#This Row],[播放量]],"")</f>
        <v/>
      </c>
      <c r="AA52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23" s="2" customFormat="1" spans="1:27">
      <c r="A523" s="7">
        <v>46204</v>
      </c>
      <c r="B523" s="8" t="s">
        <v>1141</v>
      </c>
      <c r="C523" s="8" t="s">
        <v>1142</v>
      </c>
      <c r="D523" s="8" t="s">
        <v>91</v>
      </c>
      <c r="E523" s="8" t="s">
        <v>92</v>
      </c>
      <c r="F523" s="8" t="s">
        <v>96</v>
      </c>
      <c r="G523" s="9">
        <v>28</v>
      </c>
      <c r="H523" s="9">
        <v>0</v>
      </c>
      <c r="I523" s="10">
        <v>0.00231</v>
      </c>
      <c r="J523" s="11">
        <v>0</v>
      </c>
      <c r="K523" s="12">
        <f t="shared" si="56"/>
        <v>0</v>
      </c>
      <c r="L523" s="13">
        <f t="shared" si="57"/>
        <v>0.0825</v>
      </c>
      <c r="M523" s="13">
        <f t="shared" si="58"/>
        <v>0</v>
      </c>
      <c r="N523" s="11">
        <v>0</v>
      </c>
      <c r="O523" s="11">
        <v>0</v>
      </c>
      <c r="P523" s="11">
        <v>0</v>
      </c>
      <c r="Q523" s="13">
        <f t="shared" si="59"/>
        <v>0</v>
      </c>
      <c r="R523" s="11">
        <v>0</v>
      </c>
      <c r="S523" s="13">
        <f t="shared" si="60"/>
        <v>0</v>
      </c>
      <c r="T523" s="9">
        <v>1</v>
      </c>
      <c r="U523" s="13">
        <f t="shared" si="61"/>
        <v>432.900432900433</v>
      </c>
      <c r="V523" s="12">
        <f t="shared" si="62"/>
        <v>0.0357142857142857</v>
      </c>
      <c r="W523" s="18">
        <f>COUNTIFS(源数据[日期],源数据[[#This Row],[日期]],源数据[账号id],源数据[[#This Row],[账号id]])</f>
        <v>1</v>
      </c>
      <c r="X523" s="15">
        <f>IFERROR(源数据[[#This Row],[点击量]]/源数据[[#This Row],[展示量]],"")</f>
        <v>0</v>
      </c>
      <c r="Y523" s="16">
        <f>IFERROR(源数据[[#This Row],[播放量]]/源数据[[#This Row],[展示量]],"")</f>
        <v>0.0357142857142857</v>
      </c>
      <c r="Z523" s="16">
        <f>IFERROR(源数据[[#This Row],[三连投放总消耗(毫分)]]/源数据[[#This Row],[播放量]],"")</f>
        <v>0.00231</v>
      </c>
      <c r="AA52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24" s="2" customFormat="1" spans="1:27">
      <c r="A524" s="7">
        <v>46204</v>
      </c>
      <c r="B524" s="8" t="s">
        <v>1143</v>
      </c>
      <c r="C524" s="8" t="s">
        <v>1144</v>
      </c>
      <c r="D524" s="8" t="s">
        <v>91</v>
      </c>
      <c r="E524" s="8" t="s">
        <v>92</v>
      </c>
      <c r="F524" s="8" t="s">
        <v>748</v>
      </c>
      <c r="G524" s="9">
        <v>1</v>
      </c>
      <c r="H524" s="9">
        <v>0</v>
      </c>
      <c r="I524" s="10">
        <v>0.00222</v>
      </c>
      <c r="J524" s="11">
        <v>0</v>
      </c>
      <c r="K524" s="12">
        <f t="shared" si="56"/>
        <v>0</v>
      </c>
      <c r="L524" s="13">
        <f t="shared" si="57"/>
        <v>2.22</v>
      </c>
      <c r="M524" s="13">
        <f t="shared" si="58"/>
        <v>0</v>
      </c>
      <c r="N524" s="11">
        <v>0</v>
      </c>
      <c r="O524" s="11">
        <v>0</v>
      </c>
      <c r="P524" s="11">
        <v>0</v>
      </c>
      <c r="Q524" s="13">
        <f t="shared" si="59"/>
        <v>0</v>
      </c>
      <c r="R524" s="11">
        <v>0</v>
      </c>
      <c r="S524" s="13">
        <f t="shared" si="60"/>
        <v>0</v>
      </c>
      <c r="T524" s="9">
        <v>0</v>
      </c>
      <c r="U524" s="13">
        <f t="shared" si="61"/>
        <v>0</v>
      </c>
      <c r="V524" s="12">
        <f t="shared" si="62"/>
        <v>0</v>
      </c>
      <c r="W524" s="18">
        <f>COUNTIFS(源数据[日期],源数据[[#This Row],[日期]],源数据[账号id],源数据[[#This Row],[账号id]])</f>
        <v>1</v>
      </c>
      <c r="X524" s="15">
        <f>IFERROR(源数据[[#This Row],[点击量]]/源数据[[#This Row],[展示量]],"")</f>
        <v>0</v>
      </c>
      <c r="Y524" s="16">
        <f>IFERROR(源数据[[#This Row],[播放量]]/源数据[[#This Row],[展示量]],"")</f>
        <v>0</v>
      </c>
      <c r="Z524" s="16" t="str">
        <f>IFERROR(源数据[[#This Row],[三连投放总消耗(毫分)]]/源数据[[#This Row],[播放量]],"")</f>
        <v/>
      </c>
      <c r="AA52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25" s="2" customFormat="1" spans="1:27">
      <c r="A525" s="7">
        <v>46204</v>
      </c>
      <c r="B525" s="8" t="s">
        <v>1145</v>
      </c>
      <c r="C525" s="8" t="s">
        <v>1146</v>
      </c>
      <c r="D525" s="8" t="s">
        <v>91</v>
      </c>
      <c r="E525" s="8" t="s">
        <v>92</v>
      </c>
      <c r="F525" s="8" t="s">
        <v>748</v>
      </c>
      <c r="G525" s="9">
        <v>1</v>
      </c>
      <c r="H525" s="9">
        <v>1</v>
      </c>
      <c r="I525" s="10">
        <v>0.00195</v>
      </c>
      <c r="J525" s="11">
        <v>0</v>
      </c>
      <c r="K525" s="12">
        <f t="shared" si="56"/>
        <v>1</v>
      </c>
      <c r="L525" s="13">
        <f t="shared" si="57"/>
        <v>1.95</v>
      </c>
      <c r="M525" s="13">
        <f t="shared" si="58"/>
        <v>0.00195</v>
      </c>
      <c r="N525" s="11">
        <v>0</v>
      </c>
      <c r="O525" s="11">
        <v>0</v>
      </c>
      <c r="P525" s="11">
        <v>0</v>
      </c>
      <c r="Q525" s="13">
        <f t="shared" si="59"/>
        <v>0</v>
      </c>
      <c r="R525" s="11">
        <v>0</v>
      </c>
      <c r="S525" s="13">
        <f t="shared" si="60"/>
        <v>0</v>
      </c>
      <c r="T525" s="9">
        <v>1</v>
      </c>
      <c r="U525" s="13">
        <f t="shared" si="61"/>
        <v>512.820512820513</v>
      </c>
      <c r="V525" s="12">
        <f t="shared" si="62"/>
        <v>1</v>
      </c>
      <c r="W525" s="18">
        <f>COUNTIFS(源数据[日期],源数据[[#This Row],[日期]],源数据[账号id],源数据[[#This Row],[账号id]])</f>
        <v>1</v>
      </c>
      <c r="X525" s="15">
        <f>IFERROR(源数据[[#This Row],[点击量]]/源数据[[#This Row],[展示量]],"")</f>
        <v>1</v>
      </c>
      <c r="Y525" s="16">
        <f>IFERROR(源数据[[#This Row],[播放量]]/源数据[[#This Row],[展示量]],"")</f>
        <v>1</v>
      </c>
      <c r="Z525" s="16">
        <f>IFERROR(源数据[[#This Row],[三连投放总消耗(毫分)]]/源数据[[#This Row],[播放量]],"")</f>
        <v>0.00195</v>
      </c>
      <c r="AA52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26" s="2" customFormat="1" spans="1:27">
      <c r="A526" s="7">
        <v>46204</v>
      </c>
      <c r="B526" s="8" t="s">
        <v>1147</v>
      </c>
      <c r="C526" s="8" t="s">
        <v>1148</v>
      </c>
      <c r="D526" s="8" t="s">
        <v>91</v>
      </c>
      <c r="E526" s="8" t="s">
        <v>92</v>
      </c>
      <c r="F526" s="8" t="s">
        <v>115</v>
      </c>
      <c r="G526" s="9">
        <v>1</v>
      </c>
      <c r="H526" s="9">
        <v>0</v>
      </c>
      <c r="I526" s="10">
        <v>0.00156</v>
      </c>
      <c r="J526" s="11">
        <v>0</v>
      </c>
      <c r="K526" s="12">
        <f t="shared" si="56"/>
        <v>0</v>
      </c>
      <c r="L526" s="13">
        <f t="shared" si="57"/>
        <v>1.56</v>
      </c>
      <c r="M526" s="13">
        <f t="shared" si="58"/>
        <v>0</v>
      </c>
      <c r="N526" s="11">
        <v>0</v>
      </c>
      <c r="O526" s="11">
        <v>0</v>
      </c>
      <c r="P526" s="11">
        <v>0</v>
      </c>
      <c r="Q526" s="13">
        <f t="shared" si="59"/>
        <v>0</v>
      </c>
      <c r="R526" s="11">
        <v>0</v>
      </c>
      <c r="S526" s="13">
        <f t="shared" si="60"/>
        <v>0</v>
      </c>
      <c r="T526" s="9">
        <v>1</v>
      </c>
      <c r="U526" s="13">
        <f t="shared" si="61"/>
        <v>641.025641025641</v>
      </c>
      <c r="V526" s="12">
        <f t="shared" si="62"/>
        <v>1</v>
      </c>
      <c r="W526" s="18">
        <f>COUNTIFS(源数据[日期],源数据[[#This Row],[日期]],源数据[账号id],源数据[[#This Row],[账号id]])</f>
        <v>1</v>
      </c>
      <c r="X526" s="15">
        <f>IFERROR(源数据[[#This Row],[点击量]]/源数据[[#This Row],[展示量]],"")</f>
        <v>0</v>
      </c>
      <c r="Y526" s="16">
        <f>IFERROR(源数据[[#This Row],[播放量]]/源数据[[#This Row],[展示量]],"")</f>
        <v>1</v>
      </c>
      <c r="Z526" s="16">
        <f>IFERROR(源数据[[#This Row],[三连投放总消耗(毫分)]]/源数据[[#This Row],[播放量]],"")</f>
        <v>0.00156</v>
      </c>
      <c r="AA52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27" s="2" customFormat="1" spans="1:27">
      <c r="A527" s="7">
        <v>46204</v>
      </c>
      <c r="B527" s="8" t="s">
        <v>1149</v>
      </c>
      <c r="C527" s="8" t="s">
        <v>1150</v>
      </c>
      <c r="D527" s="8" t="s">
        <v>91</v>
      </c>
      <c r="E527" s="8" t="s">
        <v>92</v>
      </c>
      <c r="F527" s="8" t="s">
        <v>93</v>
      </c>
      <c r="G527" s="9">
        <v>10</v>
      </c>
      <c r="H527" s="9">
        <v>0</v>
      </c>
      <c r="I527" s="10">
        <v>0.00146</v>
      </c>
      <c r="J527" s="11">
        <v>0</v>
      </c>
      <c r="K527" s="12">
        <f t="shared" si="56"/>
        <v>0</v>
      </c>
      <c r="L527" s="13">
        <f t="shared" si="57"/>
        <v>0.146</v>
      </c>
      <c r="M527" s="13">
        <f t="shared" si="58"/>
        <v>0</v>
      </c>
      <c r="N527" s="11">
        <v>0</v>
      </c>
      <c r="O527" s="11">
        <v>0</v>
      </c>
      <c r="P527" s="11">
        <v>0</v>
      </c>
      <c r="Q527" s="13">
        <f t="shared" si="59"/>
        <v>0</v>
      </c>
      <c r="R527" s="11">
        <v>0</v>
      </c>
      <c r="S527" s="13">
        <f t="shared" si="60"/>
        <v>0</v>
      </c>
      <c r="T527" s="9">
        <v>0</v>
      </c>
      <c r="U527" s="13">
        <f t="shared" si="61"/>
        <v>0</v>
      </c>
      <c r="V527" s="12">
        <f t="shared" si="62"/>
        <v>0</v>
      </c>
      <c r="W527" s="18">
        <f>COUNTIFS(源数据[日期],源数据[[#This Row],[日期]],源数据[账号id],源数据[[#This Row],[账号id]])</f>
        <v>1</v>
      </c>
      <c r="X527" s="15">
        <f>IFERROR(源数据[[#This Row],[点击量]]/源数据[[#This Row],[展示量]],"")</f>
        <v>0</v>
      </c>
      <c r="Y527" s="16">
        <f>IFERROR(源数据[[#This Row],[播放量]]/源数据[[#This Row],[展示量]],"")</f>
        <v>0</v>
      </c>
      <c r="Z527" s="16" t="str">
        <f>IFERROR(源数据[[#This Row],[三连投放总消耗(毫分)]]/源数据[[#This Row],[播放量]],"")</f>
        <v/>
      </c>
      <c r="AA52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28" s="2" customFormat="1" spans="1:27">
      <c r="A528" s="7">
        <v>46204</v>
      </c>
      <c r="B528" s="8" t="s">
        <v>1151</v>
      </c>
      <c r="C528" s="8" t="s">
        <v>1152</v>
      </c>
      <c r="D528" s="8" t="s">
        <v>91</v>
      </c>
      <c r="E528" s="8" t="s">
        <v>92</v>
      </c>
      <c r="F528" s="8" t="s">
        <v>748</v>
      </c>
      <c r="G528" s="9">
        <v>1</v>
      </c>
      <c r="H528" s="9">
        <v>0</v>
      </c>
      <c r="I528" s="10">
        <v>0.00136</v>
      </c>
      <c r="J528" s="11">
        <v>0</v>
      </c>
      <c r="K528" s="12">
        <f t="shared" si="56"/>
        <v>0</v>
      </c>
      <c r="L528" s="13">
        <f t="shared" si="57"/>
        <v>1.36</v>
      </c>
      <c r="M528" s="13">
        <f t="shared" si="58"/>
        <v>0</v>
      </c>
      <c r="N528" s="11">
        <v>0</v>
      </c>
      <c r="O528" s="11">
        <v>0</v>
      </c>
      <c r="P528" s="11">
        <v>0</v>
      </c>
      <c r="Q528" s="13">
        <f t="shared" si="59"/>
        <v>0</v>
      </c>
      <c r="R528" s="11">
        <v>0</v>
      </c>
      <c r="S528" s="13">
        <f t="shared" si="60"/>
        <v>0</v>
      </c>
      <c r="T528" s="9">
        <v>0</v>
      </c>
      <c r="U528" s="13">
        <f t="shared" si="61"/>
        <v>0</v>
      </c>
      <c r="V528" s="12">
        <f t="shared" si="62"/>
        <v>0</v>
      </c>
      <c r="W528" s="18">
        <f>COUNTIFS(源数据[日期],源数据[[#This Row],[日期]],源数据[账号id],源数据[[#This Row],[账号id]])</f>
        <v>1</v>
      </c>
      <c r="X528" s="15">
        <f>IFERROR(源数据[[#This Row],[点击量]]/源数据[[#This Row],[展示量]],"")</f>
        <v>0</v>
      </c>
      <c r="Y528" s="16">
        <f>IFERROR(源数据[[#This Row],[播放量]]/源数据[[#This Row],[展示量]],"")</f>
        <v>0</v>
      </c>
      <c r="Z528" s="16" t="str">
        <f>IFERROR(源数据[[#This Row],[三连投放总消耗(毫分)]]/源数据[[#This Row],[播放量]],"")</f>
        <v/>
      </c>
      <c r="AA52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29" s="2" customFormat="1" spans="1:27">
      <c r="A529" s="7">
        <v>46204</v>
      </c>
      <c r="B529" s="8" t="s">
        <v>1153</v>
      </c>
      <c r="C529" s="8" t="s">
        <v>1154</v>
      </c>
      <c r="D529" s="8" t="s">
        <v>91</v>
      </c>
      <c r="E529" s="8" t="s">
        <v>92</v>
      </c>
      <c r="F529" s="8" t="s">
        <v>115</v>
      </c>
      <c r="G529" s="9">
        <v>10</v>
      </c>
      <c r="H529" s="9">
        <v>0</v>
      </c>
      <c r="I529" s="10">
        <v>0.00123</v>
      </c>
      <c r="J529" s="11">
        <v>0</v>
      </c>
      <c r="K529" s="12">
        <f t="shared" si="56"/>
        <v>0</v>
      </c>
      <c r="L529" s="13">
        <f t="shared" si="57"/>
        <v>0.123</v>
      </c>
      <c r="M529" s="13">
        <f t="shared" si="58"/>
        <v>0</v>
      </c>
      <c r="N529" s="11">
        <v>0</v>
      </c>
      <c r="O529" s="11">
        <v>0</v>
      </c>
      <c r="P529" s="11">
        <v>0</v>
      </c>
      <c r="Q529" s="13">
        <f t="shared" si="59"/>
        <v>0</v>
      </c>
      <c r="R529" s="11">
        <v>0</v>
      </c>
      <c r="S529" s="13">
        <f t="shared" si="60"/>
        <v>0</v>
      </c>
      <c r="T529" s="9">
        <v>0</v>
      </c>
      <c r="U529" s="13">
        <f t="shared" si="61"/>
        <v>0</v>
      </c>
      <c r="V529" s="12">
        <f t="shared" si="62"/>
        <v>0</v>
      </c>
      <c r="W529" s="18">
        <f>COUNTIFS(源数据[日期],源数据[[#This Row],[日期]],源数据[账号id],源数据[[#This Row],[账号id]])</f>
        <v>1</v>
      </c>
      <c r="X529" s="15">
        <f>IFERROR(源数据[[#This Row],[点击量]]/源数据[[#This Row],[展示量]],"")</f>
        <v>0</v>
      </c>
      <c r="Y529" s="16">
        <f>IFERROR(源数据[[#This Row],[播放量]]/源数据[[#This Row],[展示量]],"")</f>
        <v>0</v>
      </c>
      <c r="Z529" s="16" t="str">
        <f>IFERROR(源数据[[#This Row],[三连投放总消耗(毫分)]]/源数据[[#This Row],[播放量]],"")</f>
        <v/>
      </c>
      <c r="AA52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30" s="2" customFormat="1" spans="1:27">
      <c r="A530" s="7">
        <v>46204</v>
      </c>
      <c r="B530" s="8" t="s">
        <v>1155</v>
      </c>
      <c r="C530" s="8" t="s">
        <v>1156</v>
      </c>
      <c r="D530" s="8" t="s">
        <v>91</v>
      </c>
      <c r="E530" s="8" t="s">
        <v>92</v>
      </c>
      <c r="F530" s="8" t="s">
        <v>96</v>
      </c>
      <c r="G530" s="9">
        <v>324</v>
      </c>
      <c r="H530" s="9">
        <v>0</v>
      </c>
      <c r="I530" s="10">
        <v>0.00116</v>
      </c>
      <c r="J530" s="11">
        <v>0</v>
      </c>
      <c r="K530" s="12">
        <f t="shared" si="56"/>
        <v>0</v>
      </c>
      <c r="L530" s="13">
        <f t="shared" si="57"/>
        <v>0.00358024691358025</v>
      </c>
      <c r="M530" s="13">
        <f t="shared" si="58"/>
        <v>0</v>
      </c>
      <c r="N530" s="11">
        <v>0</v>
      </c>
      <c r="O530" s="11">
        <v>0</v>
      </c>
      <c r="P530" s="11">
        <v>0</v>
      </c>
      <c r="Q530" s="13">
        <f t="shared" si="59"/>
        <v>0</v>
      </c>
      <c r="R530" s="11">
        <v>0</v>
      </c>
      <c r="S530" s="13">
        <f t="shared" si="60"/>
        <v>0</v>
      </c>
      <c r="T530" s="9">
        <v>0</v>
      </c>
      <c r="U530" s="13">
        <f t="shared" si="61"/>
        <v>0</v>
      </c>
      <c r="V530" s="12">
        <f t="shared" si="62"/>
        <v>0</v>
      </c>
      <c r="W530" s="18">
        <f>COUNTIFS(源数据[日期],源数据[[#This Row],[日期]],源数据[账号id],源数据[[#This Row],[账号id]])</f>
        <v>1</v>
      </c>
      <c r="X530" s="15">
        <f>IFERROR(源数据[[#This Row],[点击量]]/源数据[[#This Row],[展示量]],"")</f>
        <v>0</v>
      </c>
      <c r="Y530" s="16">
        <f>IFERROR(源数据[[#This Row],[播放量]]/源数据[[#This Row],[展示量]],"")</f>
        <v>0</v>
      </c>
      <c r="Z530" s="16" t="str">
        <f>IFERROR(源数据[[#This Row],[三连投放总消耗(毫分)]]/源数据[[#This Row],[播放量]],"")</f>
        <v/>
      </c>
      <c r="AA53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31" s="2" customFormat="1" spans="1:27">
      <c r="A531" s="7">
        <v>46204</v>
      </c>
      <c r="B531" s="8" t="s">
        <v>1157</v>
      </c>
      <c r="C531" s="8" t="s">
        <v>1158</v>
      </c>
      <c r="D531" s="8" t="s">
        <v>91</v>
      </c>
      <c r="E531" s="8" t="s">
        <v>92</v>
      </c>
      <c r="F531" s="8" t="s">
        <v>748</v>
      </c>
      <c r="G531" s="9">
        <v>2</v>
      </c>
      <c r="H531" s="9">
        <v>0</v>
      </c>
      <c r="I531" s="10">
        <v>0.00091</v>
      </c>
      <c r="J531" s="11">
        <v>0</v>
      </c>
      <c r="K531" s="12">
        <f t="shared" si="56"/>
        <v>0</v>
      </c>
      <c r="L531" s="13">
        <f t="shared" si="57"/>
        <v>0.455</v>
      </c>
      <c r="M531" s="13">
        <f t="shared" si="58"/>
        <v>0</v>
      </c>
      <c r="N531" s="11">
        <v>0</v>
      </c>
      <c r="O531" s="11">
        <v>0</v>
      </c>
      <c r="P531" s="11">
        <v>0</v>
      </c>
      <c r="Q531" s="13">
        <f t="shared" si="59"/>
        <v>0</v>
      </c>
      <c r="R531" s="11">
        <v>0</v>
      </c>
      <c r="S531" s="13">
        <f t="shared" si="60"/>
        <v>0</v>
      </c>
      <c r="T531" s="9">
        <v>0</v>
      </c>
      <c r="U531" s="13">
        <f t="shared" si="61"/>
        <v>0</v>
      </c>
      <c r="V531" s="12">
        <f t="shared" si="62"/>
        <v>0</v>
      </c>
      <c r="W531" s="18">
        <f>COUNTIFS(源数据[日期],源数据[[#This Row],[日期]],源数据[账号id],源数据[[#This Row],[账号id]])</f>
        <v>1</v>
      </c>
      <c r="X531" s="15">
        <f>IFERROR(源数据[[#This Row],[点击量]]/源数据[[#This Row],[展示量]],"")</f>
        <v>0</v>
      </c>
      <c r="Y531" s="16">
        <f>IFERROR(源数据[[#This Row],[播放量]]/源数据[[#This Row],[展示量]],"")</f>
        <v>0</v>
      </c>
      <c r="Z531" s="16" t="str">
        <f>IFERROR(源数据[[#This Row],[三连投放总消耗(毫分)]]/源数据[[#This Row],[播放量]],"")</f>
        <v/>
      </c>
      <c r="AA53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32" s="2" customFormat="1" spans="1:27">
      <c r="A532" s="7">
        <v>46204</v>
      </c>
      <c r="B532" s="8" t="s">
        <v>1159</v>
      </c>
      <c r="C532" s="8" t="s">
        <v>1160</v>
      </c>
      <c r="D532" s="8" t="s">
        <v>91</v>
      </c>
      <c r="E532" s="8" t="s">
        <v>92</v>
      </c>
      <c r="F532" s="8" t="s">
        <v>748</v>
      </c>
      <c r="G532" s="9">
        <v>1</v>
      </c>
      <c r="H532" s="9">
        <v>0</v>
      </c>
      <c r="I532" s="10">
        <v>0.00066</v>
      </c>
      <c r="J532" s="11">
        <v>0</v>
      </c>
      <c r="K532" s="12">
        <f t="shared" si="56"/>
        <v>0</v>
      </c>
      <c r="L532" s="13">
        <f t="shared" si="57"/>
        <v>0.66</v>
      </c>
      <c r="M532" s="13">
        <f t="shared" si="58"/>
        <v>0</v>
      </c>
      <c r="N532" s="11">
        <v>0</v>
      </c>
      <c r="O532" s="11">
        <v>0</v>
      </c>
      <c r="P532" s="11">
        <v>0</v>
      </c>
      <c r="Q532" s="13">
        <f t="shared" si="59"/>
        <v>0</v>
      </c>
      <c r="R532" s="11">
        <v>0</v>
      </c>
      <c r="S532" s="13">
        <f t="shared" si="60"/>
        <v>0</v>
      </c>
      <c r="T532" s="9">
        <v>0</v>
      </c>
      <c r="U532" s="13">
        <f t="shared" si="61"/>
        <v>0</v>
      </c>
      <c r="V532" s="12">
        <f t="shared" si="62"/>
        <v>0</v>
      </c>
      <c r="W532" s="18">
        <f>COUNTIFS(源数据[日期],源数据[[#This Row],[日期]],源数据[账号id],源数据[[#This Row],[账号id]])</f>
        <v>1</v>
      </c>
      <c r="X532" s="15">
        <f>IFERROR(源数据[[#This Row],[点击量]]/源数据[[#This Row],[展示量]],"")</f>
        <v>0</v>
      </c>
      <c r="Y532" s="16">
        <f>IFERROR(源数据[[#This Row],[播放量]]/源数据[[#This Row],[展示量]],"")</f>
        <v>0</v>
      </c>
      <c r="Z532" s="16" t="str">
        <f>IFERROR(源数据[[#This Row],[三连投放总消耗(毫分)]]/源数据[[#This Row],[播放量]],"")</f>
        <v/>
      </c>
      <c r="AA53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33" s="2" customFormat="1" spans="1:27">
      <c r="A533" s="7">
        <v>46204</v>
      </c>
      <c r="B533" s="8" t="s">
        <v>1161</v>
      </c>
      <c r="C533" s="8" t="s">
        <v>1162</v>
      </c>
      <c r="D533" s="8" t="s">
        <v>91</v>
      </c>
      <c r="E533" s="8" t="s">
        <v>92</v>
      </c>
      <c r="F533" s="8" t="s">
        <v>748</v>
      </c>
      <c r="G533" s="9">
        <v>1</v>
      </c>
      <c r="H533" s="9">
        <v>0</v>
      </c>
      <c r="I533" s="10">
        <v>0.00034</v>
      </c>
      <c r="J533" s="11">
        <v>0</v>
      </c>
      <c r="K533" s="12">
        <f t="shared" si="56"/>
        <v>0</v>
      </c>
      <c r="L533" s="13">
        <f t="shared" si="57"/>
        <v>0.34</v>
      </c>
      <c r="M533" s="13">
        <f t="shared" si="58"/>
        <v>0</v>
      </c>
      <c r="N533" s="11">
        <v>0</v>
      </c>
      <c r="O533" s="11">
        <v>0</v>
      </c>
      <c r="P533" s="11">
        <v>0</v>
      </c>
      <c r="Q533" s="13">
        <f t="shared" si="59"/>
        <v>0</v>
      </c>
      <c r="R533" s="11">
        <v>0</v>
      </c>
      <c r="S533" s="13">
        <f t="shared" si="60"/>
        <v>0</v>
      </c>
      <c r="T533" s="9">
        <v>0</v>
      </c>
      <c r="U533" s="13">
        <f t="shared" si="61"/>
        <v>0</v>
      </c>
      <c r="V533" s="12">
        <f t="shared" si="62"/>
        <v>0</v>
      </c>
      <c r="W533" s="18">
        <f>COUNTIFS(源数据[日期],源数据[[#This Row],[日期]],源数据[账号id],源数据[[#This Row],[账号id]])</f>
        <v>1</v>
      </c>
      <c r="X533" s="15">
        <f>IFERROR(源数据[[#This Row],[点击量]]/源数据[[#This Row],[展示量]],"")</f>
        <v>0</v>
      </c>
      <c r="Y533" s="16">
        <f>IFERROR(源数据[[#This Row],[播放量]]/源数据[[#This Row],[展示量]],"")</f>
        <v>0</v>
      </c>
      <c r="Z533" s="16" t="str">
        <f>IFERROR(源数据[[#This Row],[三连投放总消耗(毫分)]]/源数据[[#This Row],[播放量]],"")</f>
        <v/>
      </c>
      <c r="AA53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34" s="2" customFormat="1" spans="1:27">
      <c r="A534" s="7">
        <v>46204</v>
      </c>
      <c r="B534" s="8" t="s">
        <v>1163</v>
      </c>
      <c r="C534" s="8" t="s">
        <v>1164</v>
      </c>
      <c r="D534" s="8" t="s">
        <v>91</v>
      </c>
      <c r="E534" s="8" t="s">
        <v>92</v>
      </c>
      <c r="F534" s="8" t="s">
        <v>748</v>
      </c>
      <c r="G534" s="9">
        <v>1</v>
      </c>
      <c r="H534" s="9">
        <v>0</v>
      </c>
      <c r="I534" s="10">
        <v>0.00015</v>
      </c>
      <c r="J534" s="11">
        <v>0</v>
      </c>
      <c r="K534" s="12">
        <f t="shared" si="56"/>
        <v>0</v>
      </c>
      <c r="L534" s="13">
        <f t="shared" si="57"/>
        <v>0.15</v>
      </c>
      <c r="M534" s="13">
        <f t="shared" si="58"/>
        <v>0</v>
      </c>
      <c r="N534" s="11">
        <v>0</v>
      </c>
      <c r="O534" s="11">
        <v>0</v>
      </c>
      <c r="P534" s="11">
        <v>0</v>
      </c>
      <c r="Q534" s="13">
        <f t="shared" si="59"/>
        <v>0</v>
      </c>
      <c r="R534" s="11">
        <v>0</v>
      </c>
      <c r="S534" s="13">
        <f t="shared" si="60"/>
        <v>0</v>
      </c>
      <c r="T534" s="9">
        <v>0</v>
      </c>
      <c r="U534" s="13">
        <f t="shared" si="61"/>
        <v>0</v>
      </c>
      <c r="V534" s="12">
        <f t="shared" si="62"/>
        <v>0</v>
      </c>
      <c r="W534" s="18">
        <f>COUNTIFS(源数据[日期],源数据[[#This Row],[日期]],源数据[账号id],源数据[[#This Row],[账号id]])</f>
        <v>1</v>
      </c>
      <c r="X534" s="15">
        <f>IFERROR(源数据[[#This Row],[点击量]]/源数据[[#This Row],[展示量]],"")</f>
        <v>0</v>
      </c>
      <c r="Y534" s="16">
        <f>IFERROR(源数据[[#This Row],[播放量]]/源数据[[#This Row],[展示量]],"")</f>
        <v>0</v>
      </c>
      <c r="Z534" s="16" t="str">
        <f>IFERROR(源数据[[#This Row],[三连投放总消耗(毫分)]]/源数据[[#This Row],[播放量]],"")</f>
        <v/>
      </c>
      <c r="AA53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35" s="2" customFormat="1" spans="1:27">
      <c r="A535" s="7">
        <v>46204</v>
      </c>
      <c r="B535" s="8" t="s">
        <v>1165</v>
      </c>
      <c r="C535" s="8" t="s">
        <v>1166</v>
      </c>
      <c r="D535" s="8" t="s">
        <v>91</v>
      </c>
      <c r="E535" s="8" t="s">
        <v>92</v>
      </c>
      <c r="F535" s="8" t="s">
        <v>96</v>
      </c>
      <c r="G535" s="9">
        <v>304</v>
      </c>
      <c r="H535" s="9">
        <v>1</v>
      </c>
      <c r="I535" s="10">
        <v>0.00011</v>
      </c>
      <c r="J535" s="11">
        <v>0</v>
      </c>
      <c r="K535" s="12">
        <f t="shared" si="56"/>
        <v>0.00328947368421053</v>
      </c>
      <c r="L535" s="13">
        <f t="shared" si="57"/>
        <v>0.000361842105263158</v>
      </c>
      <c r="M535" s="13">
        <f t="shared" si="58"/>
        <v>0.00011</v>
      </c>
      <c r="N535" s="11">
        <v>0</v>
      </c>
      <c r="O535" s="11">
        <v>0</v>
      </c>
      <c r="P535" s="11">
        <v>0</v>
      </c>
      <c r="Q535" s="13">
        <f t="shared" si="59"/>
        <v>0</v>
      </c>
      <c r="R535" s="11">
        <v>0</v>
      </c>
      <c r="S535" s="13">
        <f t="shared" si="60"/>
        <v>0</v>
      </c>
      <c r="T535" s="9">
        <v>0</v>
      </c>
      <c r="U535" s="13">
        <f t="shared" si="61"/>
        <v>0</v>
      </c>
      <c r="V535" s="12">
        <f t="shared" si="62"/>
        <v>0</v>
      </c>
      <c r="W535" s="18">
        <f>COUNTIFS(源数据[日期],源数据[[#This Row],[日期]],源数据[账号id],源数据[[#This Row],[账号id]])</f>
        <v>1</v>
      </c>
      <c r="X535" s="15">
        <f>IFERROR(源数据[[#This Row],[点击量]]/源数据[[#This Row],[展示量]],"")</f>
        <v>0.00328947368421053</v>
      </c>
      <c r="Y535" s="16">
        <f>IFERROR(源数据[[#This Row],[播放量]]/源数据[[#This Row],[展示量]],"")</f>
        <v>0</v>
      </c>
      <c r="Z535" s="16" t="str">
        <f>IFERROR(源数据[[#This Row],[三连投放总消耗(毫分)]]/源数据[[#This Row],[播放量]],"")</f>
        <v/>
      </c>
      <c r="AA53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36" s="2" customFormat="1" spans="1:27">
      <c r="A536" s="7">
        <v>46204</v>
      </c>
      <c r="B536" s="8" t="s">
        <v>1167</v>
      </c>
      <c r="C536" s="8" t="s">
        <v>1168</v>
      </c>
      <c r="D536" s="8" t="s">
        <v>91</v>
      </c>
      <c r="E536" s="8" t="s">
        <v>92</v>
      </c>
      <c r="F536" s="8" t="s">
        <v>101</v>
      </c>
      <c r="G536" s="9">
        <v>0</v>
      </c>
      <c r="H536" s="9">
        <v>0</v>
      </c>
      <c r="I536" s="10">
        <v>0</v>
      </c>
      <c r="J536" s="11">
        <v>0</v>
      </c>
      <c r="K536" s="12">
        <f t="shared" si="56"/>
        <v>0</v>
      </c>
      <c r="L536" s="13">
        <f t="shared" si="57"/>
        <v>0</v>
      </c>
      <c r="M536" s="13">
        <f t="shared" si="58"/>
        <v>0</v>
      </c>
      <c r="N536" s="11">
        <v>0</v>
      </c>
      <c r="O536" s="11">
        <v>0</v>
      </c>
      <c r="P536" s="11">
        <v>0</v>
      </c>
      <c r="Q536" s="13">
        <f t="shared" si="59"/>
        <v>0</v>
      </c>
      <c r="R536" s="11">
        <v>0</v>
      </c>
      <c r="S536" s="13">
        <f t="shared" si="60"/>
        <v>0</v>
      </c>
      <c r="T536" s="9">
        <v>0</v>
      </c>
      <c r="U536" s="13">
        <f t="shared" si="61"/>
        <v>0</v>
      </c>
      <c r="V536" s="12">
        <f t="shared" si="62"/>
        <v>0</v>
      </c>
      <c r="W536" s="18">
        <f>COUNTIFS(源数据[日期],源数据[[#This Row],[日期]],源数据[账号id],源数据[[#This Row],[账号id]])</f>
        <v>1</v>
      </c>
      <c r="X536" s="15" t="str">
        <f>IFERROR(源数据[[#This Row],[点击量]]/源数据[[#This Row],[展示量]],"")</f>
        <v/>
      </c>
      <c r="Y536" s="16" t="str">
        <f>IFERROR(源数据[[#This Row],[播放量]]/源数据[[#This Row],[展示量]],"")</f>
        <v/>
      </c>
      <c r="Z536" s="16" t="str">
        <f>IFERROR(源数据[[#This Row],[三连投放总消耗(毫分)]]/源数据[[#This Row],[播放量]],"")</f>
        <v/>
      </c>
      <c r="AA53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37" s="2" customFormat="1" spans="1:27">
      <c r="A537" s="7">
        <v>46204</v>
      </c>
      <c r="B537" s="8" t="s">
        <v>1169</v>
      </c>
      <c r="C537" s="8" t="s">
        <v>1170</v>
      </c>
      <c r="D537" s="8" t="s">
        <v>91</v>
      </c>
      <c r="E537" s="8" t="s">
        <v>92</v>
      </c>
      <c r="F537" s="8" t="s">
        <v>96</v>
      </c>
      <c r="G537" s="9">
        <v>0</v>
      </c>
      <c r="H537" s="9">
        <v>0</v>
      </c>
      <c r="I537" s="10">
        <v>0</v>
      </c>
      <c r="J537" s="11">
        <v>0</v>
      </c>
      <c r="K537" s="12">
        <f t="shared" si="56"/>
        <v>0</v>
      </c>
      <c r="L537" s="13">
        <f t="shared" si="57"/>
        <v>0</v>
      </c>
      <c r="M537" s="13">
        <f t="shared" si="58"/>
        <v>0</v>
      </c>
      <c r="N537" s="11">
        <v>0</v>
      </c>
      <c r="O537" s="11">
        <v>0</v>
      </c>
      <c r="P537" s="11">
        <v>0</v>
      </c>
      <c r="Q537" s="13">
        <f t="shared" si="59"/>
        <v>0</v>
      </c>
      <c r="R537" s="11">
        <v>0</v>
      </c>
      <c r="S537" s="13">
        <f t="shared" si="60"/>
        <v>0</v>
      </c>
      <c r="T537" s="9">
        <v>0</v>
      </c>
      <c r="U537" s="13">
        <f t="shared" si="61"/>
        <v>0</v>
      </c>
      <c r="V537" s="12">
        <f t="shared" si="62"/>
        <v>0</v>
      </c>
      <c r="W537" s="18">
        <f>COUNTIFS(源数据[日期],源数据[[#This Row],[日期]],源数据[账号id],源数据[[#This Row],[账号id]])</f>
        <v>1</v>
      </c>
      <c r="X537" s="15" t="str">
        <f>IFERROR(源数据[[#This Row],[点击量]]/源数据[[#This Row],[展示量]],"")</f>
        <v/>
      </c>
      <c r="Y537" s="16" t="str">
        <f>IFERROR(源数据[[#This Row],[播放量]]/源数据[[#This Row],[展示量]],"")</f>
        <v/>
      </c>
      <c r="Z537" s="16" t="str">
        <f>IFERROR(源数据[[#This Row],[三连投放总消耗(毫分)]]/源数据[[#This Row],[播放量]],"")</f>
        <v/>
      </c>
      <c r="AA53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38" s="2" customFormat="1" spans="1:27">
      <c r="A538" s="7">
        <v>46204</v>
      </c>
      <c r="B538" s="8" t="s">
        <v>1171</v>
      </c>
      <c r="C538" s="8" t="s">
        <v>1172</v>
      </c>
      <c r="D538" s="8" t="s">
        <v>91</v>
      </c>
      <c r="E538" s="8" t="s">
        <v>92</v>
      </c>
      <c r="F538" s="8" t="s">
        <v>101</v>
      </c>
      <c r="G538" s="9">
        <v>0</v>
      </c>
      <c r="H538" s="9">
        <v>0</v>
      </c>
      <c r="I538" s="10">
        <v>0</v>
      </c>
      <c r="J538" s="11">
        <v>0</v>
      </c>
      <c r="K538" s="12">
        <f t="shared" si="56"/>
        <v>0</v>
      </c>
      <c r="L538" s="13">
        <f t="shared" si="57"/>
        <v>0</v>
      </c>
      <c r="M538" s="13">
        <f t="shared" si="58"/>
        <v>0</v>
      </c>
      <c r="N538" s="11">
        <v>0</v>
      </c>
      <c r="O538" s="11">
        <v>0</v>
      </c>
      <c r="P538" s="11">
        <v>0</v>
      </c>
      <c r="Q538" s="13">
        <f t="shared" si="59"/>
        <v>0</v>
      </c>
      <c r="R538" s="11">
        <v>0</v>
      </c>
      <c r="S538" s="13">
        <f t="shared" si="60"/>
        <v>0</v>
      </c>
      <c r="T538" s="9">
        <v>0</v>
      </c>
      <c r="U538" s="13">
        <f t="shared" si="61"/>
        <v>0</v>
      </c>
      <c r="V538" s="12">
        <f t="shared" si="62"/>
        <v>0</v>
      </c>
      <c r="W538" s="18">
        <f>COUNTIFS(源数据[日期],源数据[[#This Row],[日期]],源数据[账号id],源数据[[#This Row],[账号id]])</f>
        <v>1</v>
      </c>
      <c r="X538" s="15" t="str">
        <f>IFERROR(源数据[[#This Row],[点击量]]/源数据[[#This Row],[展示量]],"")</f>
        <v/>
      </c>
      <c r="Y538" s="16" t="str">
        <f>IFERROR(源数据[[#This Row],[播放量]]/源数据[[#This Row],[展示量]],"")</f>
        <v/>
      </c>
      <c r="Z538" s="16" t="str">
        <f>IFERROR(源数据[[#This Row],[三连投放总消耗(毫分)]]/源数据[[#This Row],[播放量]],"")</f>
        <v/>
      </c>
      <c r="AA53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39" s="2" customFormat="1" spans="1:27">
      <c r="A539" s="7">
        <v>46204</v>
      </c>
      <c r="B539" s="8" t="s">
        <v>1173</v>
      </c>
      <c r="C539" s="8" t="s">
        <v>1174</v>
      </c>
      <c r="D539" s="8" t="s">
        <v>91</v>
      </c>
      <c r="E539" s="8" t="s">
        <v>92</v>
      </c>
      <c r="F539" s="8" t="s">
        <v>115</v>
      </c>
      <c r="G539" s="9">
        <v>0</v>
      </c>
      <c r="H539" s="9">
        <v>0</v>
      </c>
      <c r="I539" s="10">
        <v>0</v>
      </c>
      <c r="J539" s="11">
        <v>0</v>
      </c>
      <c r="K539" s="12">
        <f t="shared" si="56"/>
        <v>0</v>
      </c>
      <c r="L539" s="13">
        <f t="shared" si="57"/>
        <v>0</v>
      </c>
      <c r="M539" s="13">
        <f t="shared" si="58"/>
        <v>0</v>
      </c>
      <c r="N539" s="11">
        <v>0</v>
      </c>
      <c r="O539" s="11">
        <v>0</v>
      </c>
      <c r="P539" s="11">
        <v>0</v>
      </c>
      <c r="Q539" s="13">
        <f t="shared" si="59"/>
        <v>0</v>
      </c>
      <c r="R539" s="11">
        <v>0</v>
      </c>
      <c r="S539" s="13">
        <f t="shared" si="60"/>
        <v>0</v>
      </c>
      <c r="T539" s="9">
        <v>0</v>
      </c>
      <c r="U539" s="13">
        <f t="shared" si="61"/>
        <v>0</v>
      </c>
      <c r="V539" s="12">
        <f t="shared" si="62"/>
        <v>0</v>
      </c>
      <c r="W539" s="18">
        <f>COUNTIFS(源数据[日期],源数据[[#This Row],[日期]],源数据[账号id],源数据[[#This Row],[账号id]])</f>
        <v>1</v>
      </c>
      <c r="X539" s="15" t="str">
        <f>IFERROR(源数据[[#This Row],[点击量]]/源数据[[#This Row],[展示量]],"")</f>
        <v/>
      </c>
      <c r="Y539" s="16" t="str">
        <f>IFERROR(源数据[[#This Row],[播放量]]/源数据[[#This Row],[展示量]],"")</f>
        <v/>
      </c>
      <c r="Z539" s="16" t="str">
        <f>IFERROR(源数据[[#This Row],[三连投放总消耗(毫分)]]/源数据[[#This Row],[播放量]],"")</f>
        <v/>
      </c>
      <c r="AA53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40" s="2" customFormat="1" spans="1:27">
      <c r="A540" s="7">
        <v>46204</v>
      </c>
      <c r="B540" s="8" t="s">
        <v>1175</v>
      </c>
      <c r="C540" s="8" t="s">
        <v>1176</v>
      </c>
      <c r="D540" s="8" t="s">
        <v>91</v>
      </c>
      <c r="E540" s="8" t="s">
        <v>92</v>
      </c>
      <c r="F540" s="8" t="s">
        <v>96</v>
      </c>
      <c r="G540" s="9">
        <v>0</v>
      </c>
      <c r="H540" s="9">
        <v>0</v>
      </c>
      <c r="I540" s="10">
        <v>0</v>
      </c>
      <c r="J540" s="11">
        <v>0</v>
      </c>
      <c r="K540" s="12">
        <f t="shared" si="56"/>
        <v>0</v>
      </c>
      <c r="L540" s="13">
        <f t="shared" si="57"/>
        <v>0</v>
      </c>
      <c r="M540" s="13">
        <f t="shared" si="58"/>
        <v>0</v>
      </c>
      <c r="N540" s="11">
        <v>0</v>
      </c>
      <c r="O540" s="11">
        <v>0</v>
      </c>
      <c r="P540" s="11">
        <v>0</v>
      </c>
      <c r="Q540" s="13">
        <f t="shared" si="59"/>
        <v>0</v>
      </c>
      <c r="R540" s="11">
        <v>0</v>
      </c>
      <c r="S540" s="13">
        <f t="shared" si="60"/>
        <v>0</v>
      </c>
      <c r="T540" s="9">
        <v>0</v>
      </c>
      <c r="U540" s="13">
        <f t="shared" si="61"/>
        <v>0</v>
      </c>
      <c r="V540" s="12">
        <f t="shared" si="62"/>
        <v>0</v>
      </c>
      <c r="W540" s="18">
        <f>COUNTIFS(源数据[日期],源数据[[#This Row],[日期]],源数据[账号id],源数据[[#This Row],[账号id]])</f>
        <v>1</v>
      </c>
      <c r="X540" s="15" t="str">
        <f>IFERROR(源数据[[#This Row],[点击量]]/源数据[[#This Row],[展示量]],"")</f>
        <v/>
      </c>
      <c r="Y540" s="16" t="str">
        <f>IFERROR(源数据[[#This Row],[播放量]]/源数据[[#This Row],[展示量]],"")</f>
        <v/>
      </c>
      <c r="Z540" s="16" t="str">
        <f>IFERROR(源数据[[#This Row],[三连投放总消耗(毫分)]]/源数据[[#This Row],[播放量]],"")</f>
        <v/>
      </c>
      <c r="AA54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41" s="2" customFormat="1" spans="1:27">
      <c r="A541" s="7">
        <v>46204</v>
      </c>
      <c r="B541" s="8" t="s">
        <v>1177</v>
      </c>
      <c r="C541" s="8" t="s">
        <v>1178</v>
      </c>
      <c r="D541" s="8" t="s">
        <v>91</v>
      </c>
      <c r="E541" s="8" t="s">
        <v>92</v>
      </c>
      <c r="F541" s="8" t="s">
        <v>101</v>
      </c>
      <c r="G541" s="9">
        <v>0</v>
      </c>
      <c r="H541" s="9">
        <v>0</v>
      </c>
      <c r="I541" s="10">
        <v>0</v>
      </c>
      <c r="J541" s="11">
        <v>0</v>
      </c>
      <c r="K541" s="12">
        <f t="shared" si="56"/>
        <v>0</v>
      </c>
      <c r="L541" s="13">
        <f t="shared" si="57"/>
        <v>0</v>
      </c>
      <c r="M541" s="13">
        <f t="shared" si="58"/>
        <v>0</v>
      </c>
      <c r="N541" s="11">
        <v>0</v>
      </c>
      <c r="O541" s="11">
        <v>0</v>
      </c>
      <c r="P541" s="11">
        <v>0</v>
      </c>
      <c r="Q541" s="13">
        <f t="shared" si="59"/>
        <v>0</v>
      </c>
      <c r="R541" s="11">
        <v>0</v>
      </c>
      <c r="S541" s="13">
        <f t="shared" si="60"/>
        <v>0</v>
      </c>
      <c r="T541" s="9">
        <v>0</v>
      </c>
      <c r="U541" s="13">
        <f t="shared" si="61"/>
        <v>0</v>
      </c>
      <c r="V541" s="12">
        <f t="shared" si="62"/>
        <v>0</v>
      </c>
      <c r="W541" s="18">
        <f>COUNTIFS(源数据[日期],源数据[[#This Row],[日期]],源数据[账号id],源数据[[#This Row],[账号id]])</f>
        <v>1</v>
      </c>
      <c r="X541" s="15" t="str">
        <f>IFERROR(源数据[[#This Row],[点击量]]/源数据[[#This Row],[展示量]],"")</f>
        <v/>
      </c>
      <c r="Y541" s="16" t="str">
        <f>IFERROR(源数据[[#This Row],[播放量]]/源数据[[#This Row],[展示量]],"")</f>
        <v/>
      </c>
      <c r="Z541" s="16" t="str">
        <f>IFERROR(源数据[[#This Row],[三连投放总消耗(毫分)]]/源数据[[#This Row],[播放量]],"")</f>
        <v/>
      </c>
      <c r="AA54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42" s="2" customFormat="1" spans="1:27">
      <c r="A542" s="7">
        <v>46204</v>
      </c>
      <c r="B542" s="8" t="s">
        <v>1179</v>
      </c>
      <c r="C542" s="8" t="s">
        <v>1180</v>
      </c>
      <c r="D542" s="8" t="s">
        <v>91</v>
      </c>
      <c r="E542" s="8" t="s">
        <v>92</v>
      </c>
      <c r="F542" s="8" t="s">
        <v>101</v>
      </c>
      <c r="G542" s="9">
        <v>0</v>
      </c>
      <c r="H542" s="9">
        <v>0</v>
      </c>
      <c r="I542" s="10">
        <v>0</v>
      </c>
      <c r="J542" s="11">
        <v>0</v>
      </c>
      <c r="K542" s="12">
        <f t="shared" si="56"/>
        <v>0</v>
      </c>
      <c r="L542" s="13">
        <f t="shared" si="57"/>
        <v>0</v>
      </c>
      <c r="M542" s="13">
        <f t="shared" si="58"/>
        <v>0</v>
      </c>
      <c r="N542" s="11">
        <v>0</v>
      </c>
      <c r="O542" s="11">
        <v>0</v>
      </c>
      <c r="P542" s="11">
        <v>0</v>
      </c>
      <c r="Q542" s="13">
        <f t="shared" si="59"/>
        <v>0</v>
      </c>
      <c r="R542" s="11">
        <v>0</v>
      </c>
      <c r="S542" s="13">
        <f t="shared" si="60"/>
        <v>0</v>
      </c>
      <c r="T542" s="9">
        <v>0</v>
      </c>
      <c r="U542" s="13">
        <f t="shared" si="61"/>
        <v>0</v>
      </c>
      <c r="V542" s="12">
        <f t="shared" si="62"/>
        <v>0</v>
      </c>
      <c r="W542" s="18">
        <f>COUNTIFS(源数据[日期],源数据[[#This Row],[日期]],源数据[账号id],源数据[[#This Row],[账号id]])</f>
        <v>1</v>
      </c>
      <c r="X542" s="15" t="str">
        <f>IFERROR(源数据[[#This Row],[点击量]]/源数据[[#This Row],[展示量]],"")</f>
        <v/>
      </c>
      <c r="Y542" s="16" t="str">
        <f>IFERROR(源数据[[#This Row],[播放量]]/源数据[[#This Row],[展示量]],"")</f>
        <v/>
      </c>
      <c r="Z542" s="16" t="str">
        <f>IFERROR(源数据[[#This Row],[三连投放总消耗(毫分)]]/源数据[[#This Row],[播放量]],"")</f>
        <v/>
      </c>
      <c r="AA54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43" s="2" customFormat="1" spans="1:27">
      <c r="A543" s="7">
        <v>46204</v>
      </c>
      <c r="B543" s="8" t="s">
        <v>1181</v>
      </c>
      <c r="C543" s="8" t="s">
        <v>1182</v>
      </c>
      <c r="D543" s="8" t="s">
        <v>91</v>
      </c>
      <c r="E543" s="8" t="s">
        <v>92</v>
      </c>
      <c r="F543" s="8" t="s">
        <v>96</v>
      </c>
      <c r="G543" s="9">
        <v>0</v>
      </c>
      <c r="H543" s="9">
        <v>0</v>
      </c>
      <c r="I543" s="10">
        <v>0</v>
      </c>
      <c r="J543" s="11">
        <v>0</v>
      </c>
      <c r="K543" s="12">
        <f t="shared" si="56"/>
        <v>0</v>
      </c>
      <c r="L543" s="13">
        <f t="shared" si="57"/>
        <v>0</v>
      </c>
      <c r="M543" s="13">
        <f t="shared" si="58"/>
        <v>0</v>
      </c>
      <c r="N543" s="11">
        <v>0</v>
      </c>
      <c r="O543" s="11">
        <v>0</v>
      </c>
      <c r="P543" s="11">
        <v>0</v>
      </c>
      <c r="Q543" s="13">
        <f t="shared" si="59"/>
        <v>0</v>
      </c>
      <c r="R543" s="11">
        <v>0</v>
      </c>
      <c r="S543" s="13">
        <f t="shared" si="60"/>
        <v>0</v>
      </c>
      <c r="T543" s="9">
        <v>0</v>
      </c>
      <c r="U543" s="13">
        <f t="shared" si="61"/>
        <v>0</v>
      </c>
      <c r="V543" s="12">
        <f t="shared" si="62"/>
        <v>0</v>
      </c>
      <c r="W543" s="18">
        <f>COUNTIFS(源数据[日期],源数据[[#This Row],[日期]],源数据[账号id],源数据[[#This Row],[账号id]])</f>
        <v>1</v>
      </c>
      <c r="X543" s="15" t="str">
        <f>IFERROR(源数据[[#This Row],[点击量]]/源数据[[#This Row],[展示量]],"")</f>
        <v/>
      </c>
      <c r="Y543" s="16" t="str">
        <f>IFERROR(源数据[[#This Row],[播放量]]/源数据[[#This Row],[展示量]],"")</f>
        <v/>
      </c>
      <c r="Z543" s="16" t="str">
        <f>IFERROR(源数据[[#This Row],[三连投放总消耗(毫分)]]/源数据[[#This Row],[播放量]],"")</f>
        <v/>
      </c>
      <c r="AA543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44" s="2" customFormat="1" spans="1:27">
      <c r="A544" s="7">
        <v>46204</v>
      </c>
      <c r="B544" s="8" t="s">
        <v>1183</v>
      </c>
      <c r="C544" s="8" t="s">
        <v>1184</v>
      </c>
      <c r="D544" s="8" t="s">
        <v>91</v>
      </c>
      <c r="E544" s="8" t="s">
        <v>92</v>
      </c>
      <c r="F544" s="8" t="s">
        <v>96</v>
      </c>
      <c r="G544" s="9">
        <v>0</v>
      </c>
      <c r="H544" s="9">
        <v>0</v>
      </c>
      <c r="I544" s="10">
        <v>0</v>
      </c>
      <c r="J544" s="11">
        <v>0</v>
      </c>
      <c r="K544" s="12">
        <f t="shared" si="56"/>
        <v>0</v>
      </c>
      <c r="L544" s="13">
        <f t="shared" si="57"/>
        <v>0</v>
      </c>
      <c r="M544" s="13">
        <f t="shared" si="58"/>
        <v>0</v>
      </c>
      <c r="N544" s="11">
        <v>0</v>
      </c>
      <c r="O544" s="11">
        <v>0</v>
      </c>
      <c r="P544" s="11">
        <v>0</v>
      </c>
      <c r="Q544" s="13">
        <f t="shared" si="59"/>
        <v>0</v>
      </c>
      <c r="R544" s="11">
        <v>0</v>
      </c>
      <c r="S544" s="13">
        <f t="shared" si="60"/>
        <v>0</v>
      </c>
      <c r="T544" s="9">
        <v>0</v>
      </c>
      <c r="U544" s="13">
        <f t="shared" si="61"/>
        <v>0</v>
      </c>
      <c r="V544" s="12">
        <f t="shared" si="62"/>
        <v>0</v>
      </c>
      <c r="W544" s="18">
        <f>COUNTIFS(源数据[日期],源数据[[#This Row],[日期]],源数据[账号id],源数据[[#This Row],[账号id]])</f>
        <v>1</v>
      </c>
      <c r="X544" s="15" t="str">
        <f>IFERROR(源数据[[#This Row],[点击量]]/源数据[[#This Row],[展示量]],"")</f>
        <v/>
      </c>
      <c r="Y544" s="16" t="str">
        <f>IFERROR(源数据[[#This Row],[播放量]]/源数据[[#This Row],[展示量]],"")</f>
        <v/>
      </c>
      <c r="Z544" s="16" t="str">
        <f>IFERROR(源数据[[#This Row],[三连投放总消耗(毫分)]]/源数据[[#This Row],[播放量]],"")</f>
        <v/>
      </c>
      <c r="AA544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45" s="2" customFormat="1" spans="1:27">
      <c r="A545" s="7">
        <v>46204</v>
      </c>
      <c r="B545" s="8" t="s">
        <v>1185</v>
      </c>
      <c r="C545" s="8" t="s">
        <v>1186</v>
      </c>
      <c r="D545" s="8" t="s">
        <v>91</v>
      </c>
      <c r="E545" s="8" t="s">
        <v>92</v>
      </c>
      <c r="F545" s="8" t="s">
        <v>101</v>
      </c>
      <c r="G545" s="9">
        <v>0</v>
      </c>
      <c r="H545" s="9">
        <v>0</v>
      </c>
      <c r="I545" s="10">
        <v>0</v>
      </c>
      <c r="J545" s="11">
        <v>0</v>
      </c>
      <c r="K545" s="12">
        <f t="shared" si="56"/>
        <v>0</v>
      </c>
      <c r="L545" s="13">
        <f t="shared" si="57"/>
        <v>0</v>
      </c>
      <c r="M545" s="13">
        <f t="shared" si="58"/>
        <v>0</v>
      </c>
      <c r="N545" s="11">
        <v>0</v>
      </c>
      <c r="O545" s="11">
        <v>0</v>
      </c>
      <c r="P545" s="11">
        <v>0</v>
      </c>
      <c r="Q545" s="13">
        <f t="shared" si="59"/>
        <v>0</v>
      </c>
      <c r="R545" s="11">
        <v>0</v>
      </c>
      <c r="S545" s="13">
        <f t="shared" si="60"/>
        <v>0</v>
      </c>
      <c r="T545" s="9">
        <v>0</v>
      </c>
      <c r="U545" s="13">
        <f t="shared" si="61"/>
        <v>0</v>
      </c>
      <c r="V545" s="12">
        <f t="shared" si="62"/>
        <v>0</v>
      </c>
      <c r="W545" s="18">
        <f>COUNTIFS(源数据[日期],源数据[[#This Row],[日期]],源数据[账号id],源数据[[#This Row],[账号id]])</f>
        <v>1</v>
      </c>
      <c r="X545" s="15" t="str">
        <f>IFERROR(源数据[[#This Row],[点击量]]/源数据[[#This Row],[展示量]],"")</f>
        <v/>
      </c>
      <c r="Y545" s="16" t="str">
        <f>IFERROR(源数据[[#This Row],[播放量]]/源数据[[#This Row],[展示量]],"")</f>
        <v/>
      </c>
      <c r="Z545" s="16" t="str">
        <f>IFERROR(源数据[[#This Row],[三连投放总消耗(毫分)]]/源数据[[#This Row],[播放量]],"")</f>
        <v/>
      </c>
      <c r="AA545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46" s="2" customFormat="1" spans="1:27">
      <c r="A546" s="7">
        <v>46204</v>
      </c>
      <c r="B546" s="8" t="s">
        <v>1187</v>
      </c>
      <c r="C546" s="8" t="s">
        <v>1188</v>
      </c>
      <c r="D546" s="8" t="s">
        <v>91</v>
      </c>
      <c r="E546" s="8" t="s">
        <v>92</v>
      </c>
      <c r="F546" s="8" t="s">
        <v>96</v>
      </c>
      <c r="G546" s="9">
        <v>0</v>
      </c>
      <c r="H546" s="9">
        <v>0</v>
      </c>
      <c r="I546" s="10">
        <v>0</v>
      </c>
      <c r="J546" s="11">
        <v>0</v>
      </c>
      <c r="K546" s="12">
        <f t="shared" si="56"/>
        <v>0</v>
      </c>
      <c r="L546" s="13">
        <f t="shared" si="57"/>
        <v>0</v>
      </c>
      <c r="M546" s="13">
        <f t="shared" si="58"/>
        <v>0</v>
      </c>
      <c r="N546" s="11">
        <v>0</v>
      </c>
      <c r="O546" s="11">
        <v>0</v>
      </c>
      <c r="P546" s="11">
        <v>0</v>
      </c>
      <c r="Q546" s="13">
        <f t="shared" si="59"/>
        <v>0</v>
      </c>
      <c r="R546" s="11">
        <v>0</v>
      </c>
      <c r="S546" s="13">
        <f t="shared" si="60"/>
        <v>0</v>
      </c>
      <c r="T546" s="9">
        <v>0</v>
      </c>
      <c r="U546" s="13">
        <f t="shared" si="61"/>
        <v>0</v>
      </c>
      <c r="V546" s="12">
        <f t="shared" si="62"/>
        <v>0</v>
      </c>
      <c r="W546" s="18">
        <f>COUNTIFS(源数据[日期],源数据[[#This Row],[日期]],源数据[账号id],源数据[[#This Row],[账号id]])</f>
        <v>1</v>
      </c>
      <c r="X546" s="15" t="str">
        <f>IFERROR(源数据[[#This Row],[点击量]]/源数据[[#This Row],[展示量]],"")</f>
        <v/>
      </c>
      <c r="Y546" s="16" t="str">
        <f>IFERROR(源数据[[#This Row],[播放量]]/源数据[[#This Row],[展示量]],"")</f>
        <v/>
      </c>
      <c r="Z546" s="16" t="str">
        <f>IFERROR(源数据[[#This Row],[三连投放总消耗(毫分)]]/源数据[[#This Row],[播放量]],"")</f>
        <v/>
      </c>
      <c r="AA546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47" s="2" customFormat="1" spans="1:27">
      <c r="A547" s="7">
        <v>46204</v>
      </c>
      <c r="B547" s="8" t="s">
        <v>1189</v>
      </c>
      <c r="C547" s="8" t="s">
        <v>1190</v>
      </c>
      <c r="D547" s="8" t="s">
        <v>91</v>
      </c>
      <c r="E547" s="8" t="s">
        <v>92</v>
      </c>
      <c r="F547" s="8" t="s">
        <v>101</v>
      </c>
      <c r="G547" s="9">
        <v>0</v>
      </c>
      <c r="H547" s="9">
        <v>0</v>
      </c>
      <c r="I547" s="10">
        <v>0</v>
      </c>
      <c r="J547" s="11">
        <v>0</v>
      </c>
      <c r="K547" s="12">
        <f t="shared" si="56"/>
        <v>0</v>
      </c>
      <c r="L547" s="13">
        <f t="shared" si="57"/>
        <v>0</v>
      </c>
      <c r="M547" s="13">
        <f t="shared" si="58"/>
        <v>0</v>
      </c>
      <c r="N547" s="11">
        <v>0</v>
      </c>
      <c r="O547" s="11">
        <v>0</v>
      </c>
      <c r="P547" s="11">
        <v>0</v>
      </c>
      <c r="Q547" s="13">
        <f t="shared" si="59"/>
        <v>0</v>
      </c>
      <c r="R547" s="11">
        <v>0</v>
      </c>
      <c r="S547" s="13">
        <f t="shared" si="60"/>
        <v>0</v>
      </c>
      <c r="T547" s="9">
        <v>0</v>
      </c>
      <c r="U547" s="13">
        <f t="shared" si="61"/>
        <v>0</v>
      </c>
      <c r="V547" s="12">
        <f t="shared" si="62"/>
        <v>0</v>
      </c>
      <c r="W547" s="18">
        <f>COUNTIFS(源数据[日期],源数据[[#This Row],[日期]],源数据[账号id],源数据[[#This Row],[账号id]])</f>
        <v>1</v>
      </c>
      <c r="X547" s="15" t="str">
        <f>IFERROR(源数据[[#This Row],[点击量]]/源数据[[#This Row],[展示量]],"")</f>
        <v/>
      </c>
      <c r="Y547" s="16" t="str">
        <f>IFERROR(源数据[[#This Row],[播放量]]/源数据[[#This Row],[展示量]],"")</f>
        <v/>
      </c>
      <c r="Z547" s="16" t="str">
        <f>IFERROR(源数据[[#This Row],[三连投放总消耗(毫分)]]/源数据[[#This Row],[播放量]],"")</f>
        <v/>
      </c>
      <c r="AA547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48" s="2" customFormat="1" spans="1:27">
      <c r="A548" s="7">
        <v>46204</v>
      </c>
      <c r="B548" s="8" t="s">
        <v>1191</v>
      </c>
      <c r="C548" s="8" t="s">
        <v>1192</v>
      </c>
      <c r="D548" s="8" t="s">
        <v>91</v>
      </c>
      <c r="E548" s="8" t="s">
        <v>92</v>
      </c>
      <c r="F548" s="8" t="s">
        <v>101</v>
      </c>
      <c r="G548" s="9">
        <v>0</v>
      </c>
      <c r="H548" s="9">
        <v>0</v>
      </c>
      <c r="I548" s="10">
        <v>0</v>
      </c>
      <c r="J548" s="11">
        <v>0</v>
      </c>
      <c r="K548" s="12">
        <f t="shared" si="56"/>
        <v>0</v>
      </c>
      <c r="L548" s="13">
        <f t="shared" si="57"/>
        <v>0</v>
      </c>
      <c r="M548" s="13">
        <f t="shared" si="58"/>
        <v>0</v>
      </c>
      <c r="N548" s="11">
        <v>0</v>
      </c>
      <c r="O548" s="11">
        <v>0</v>
      </c>
      <c r="P548" s="11">
        <v>0</v>
      </c>
      <c r="Q548" s="13">
        <f t="shared" si="59"/>
        <v>0</v>
      </c>
      <c r="R548" s="11">
        <v>0</v>
      </c>
      <c r="S548" s="13">
        <f t="shared" si="60"/>
        <v>0</v>
      </c>
      <c r="T548" s="9">
        <v>0</v>
      </c>
      <c r="U548" s="13">
        <f t="shared" si="61"/>
        <v>0</v>
      </c>
      <c r="V548" s="12">
        <f t="shared" si="62"/>
        <v>0</v>
      </c>
      <c r="W548" s="18">
        <f>COUNTIFS(源数据[日期],源数据[[#This Row],[日期]],源数据[账号id],源数据[[#This Row],[账号id]])</f>
        <v>1</v>
      </c>
      <c r="X548" s="15" t="str">
        <f>IFERROR(源数据[[#This Row],[点击量]]/源数据[[#This Row],[展示量]],"")</f>
        <v/>
      </c>
      <c r="Y548" s="16" t="str">
        <f>IFERROR(源数据[[#This Row],[播放量]]/源数据[[#This Row],[展示量]],"")</f>
        <v/>
      </c>
      <c r="Z548" s="16" t="str">
        <f>IFERROR(源数据[[#This Row],[三连投放总消耗(毫分)]]/源数据[[#This Row],[播放量]],"")</f>
        <v/>
      </c>
      <c r="AA548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49" s="2" customFormat="1" spans="1:27">
      <c r="A549" s="7">
        <v>46204</v>
      </c>
      <c r="B549" s="8" t="s">
        <v>1193</v>
      </c>
      <c r="C549" s="8" t="s">
        <v>1194</v>
      </c>
      <c r="D549" s="8" t="s">
        <v>91</v>
      </c>
      <c r="E549" s="8" t="s">
        <v>92</v>
      </c>
      <c r="F549" s="8" t="s">
        <v>96</v>
      </c>
      <c r="G549" s="9">
        <v>0</v>
      </c>
      <c r="H549" s="9">
        <v>0</v>
      </c>
      <c r="I549" s="10">
        <v>0</v>
      </c>
      <c r="J549" s="11">
        <v>0</v>
      </c>
      <c r="K549" s="12">
        <f t="shared" si="56"/>
        <v>0</v>
      </c>
      <c r="L549" s="13">
        <f t="shared" si="57"/>
        <v>0</v>
      </c>
      <c r="M549" s="13">
        <f t="shared" si="58"/>
        <v>0</v>
      </c>
      <c r="N549" s="11">
        <v>0</v>
      </c>
      <c r="O549" s="11">
        <v>0</v>
      </c>
      <c r="P549" s="11">
        <v>0</v>
      </c>
      <c r="Q549" s="13">
        <f t="shared" si="59"/>
        <v>0</v>
      </c>
      <c r="R549" s="11">
        <v>0</v>
      </c>
      <c r="S549" s="13">
        <f t="shared" si="60"/>
        <v>0</v>
      </c>
      <c r="T549" s="9">
        <v>0</v>
      </c>
      <c r="U549" s="13">
        <f t="shared" si="61"/>
        <v>0</v>
      </c>
      <c r="V549" s="12">
        <f t="shared" si="62"/>
        <v>0</v>
      </c>
      <c r="W549" s="18">
        <f>COUNTIFS(源数据[日期],源数据[[#This Row],[日期]],源数据[账号id],源数据[[#This Row],[账号id]])</f>
        <v>1</v>
      </c>
      <c r="X549" s="15" t="str">
        <f>IFERROR(源数据[[#This Row],[点击量]]/源数据[[#This Row],[展示量]],"")</f>
        <v/>
      </c>
      <c r="Y549" s="16" t="str">
        <f>IFERROR(源数据[[#This Row],[播放量]]/源数据[[#This Row],[展示量]],"")</f>
        <v/>
      </c>
      <c r="Z549" s="16" t="str">
        <f>IFERROR(源数据[[#This Row],[三连投放总消耗(毫分)]]/源数据[[#This Row],[播放量]],"")</f>
        <v/>
      </c>
      <c r="AA549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50" s="2" customFormat="1" spans="1:27">
      <c r="A550" s="7">
        <v>46204</v>
      </c>
      <c r="B550" s="8" t="s">
        <v>1195</v>
      </c>
      <c r="C550" s="8" t="s">
        <v>1196</v>
      </c>
      <c r="D550" s="8" t="s">
        <v>91</v>
      </c>
      <c r="E550" s="8" t="s">
        <v>92</v>
      </c>
      <c r="F550" s="8" t="s">
        <v>96</v>
      </c>
      <c r="G550" s="9">
        <v>0</v>
      </c>
      <c r="H550" s="9">
        <v>0</v>
      </c>
      <c r="I550" s="10">
        <v>0</v>
      </c>
      <c r="J550" s="11">
        <v>0</v>
      </c>
      <c r="K550" s="12">
        <f t="shared" si="56"/>
        <v>0</v>
      </c>
      <c r="L550" s="13">
        <f t="shared" si="57"/>
        <v>0</v>
      </c>
      <c r="M550" s="13">
        <f t="shared" si="58"/>
        <v>0</v>
      </c>
      <c r="N550" s="11">
        <v>0</v>
      </c>
      <c r="O550" s="11">
        <v>0</v>
      </c>
      <c r="P550" s="11">
        <v>0</v>
      </c>
      <c r="Q550" s="13">
        <f t="shared" si="59"/>
        <v>0</v>
      </c>
      <c r="R550" s="11">
        <v>0</v>
      </c>
      <c r="S550" s="13">
        <f t="shared" si="60"/>
        <v>0</v>
      </c>
      <c r="T550" s="9">
        <v>0</v>
      </c>
      <c r="U550" s="13">
        <f t="shared" si="61"/>
        <v>0</v>
      </c>
      <c r="V550" s="12">
        <f t="shared" si="62"/>
        <v>0</v>
      </c>
      <c r="W550" s="18">
        <f>COUNTIFS(源数据[日期],源数据[[#This Row],[日期]],源数据[账号id],源数据[[#This Row],[账号id]])</f>
        <v>1</v>
      </c>
      <c r="X550" s="15" t="str">
        <f>IFERROR(源数据[[#This Row],[点击量]]/源数据[[#This Row],[展示量]],"")</f>
        <v/>
      </c>
      <c r="Y550" s="16" t="str">
        <f>IFERROR(源数据[[#This Row],[播放量]]/源数据[[#This Row],[展示量]],"")</f>
        <v/>
      </c>
      <c r="Z550" s="16" t="str">
        <f>IFERROR(源数据[[#This Row],[三连投放总消耗(毫分)]]/源数据[[#This Row],[播放量]],"")</f>
        <v/>
      </c>
      <c r="AA550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51" s="2" customFormat="1" spans="1:27">
      <c r="A551" s="7">
        <v>46204</v>
      </c>
      <c r="B551" s="8" t="s">
        <v>1197</v>
      </c>
      <c r="C551" s="8" t="s">
        <v>1198</v>
      </c>
      <c r="D551" s="8" t="s">
        <v>91</v>
      </c>
      <c r="E551" s="8" t="s">
        <v>92</v>
      </c>
      <c r="F551" s="8" t="s">
        <v>101</v>
      </c>
      <c r="G551" s="9">
        <v>0</v>
      </c>
      <c r="H551" s="9">
        <v>0</v>
      </c>
      <c r="I551" s="10">
        <v>0</v>
      </c>
      <c r="J551" s="11">
        <v>0</v>
      </c>
      <c r="K551" s="12">
        <f t="shared" si="56"/>
        <v>0</v>
      </c>
      <c r="L551" s="13">
        <f t="shared" si="57"/>
        <v>0</v>
      </c>
      <c r="M551" s="13">
        <f t="shared" si="58"/>
        <v>0</v>
      </c>
      <c r="N551" s="11">
        <v>0</v>
      </c>
      <c r="O551" s="11">
        <v>0</v>
      </c>
      <c r="P551" s="11">
        <v>0</v>
      </c>
      <c r="Q551" s="13">
        <f t="shared" si="59"/>
        <v>0</v>
      </c>
      <c r="R551" s="11">
        <v>0</v>
      </c>
      <c r="S551" s="13">
        <f t="shared" si="60"/>
        <v>0</v>
      </c>
      <c r="T551" s="9">
        <v>0</v>
      </c>
      <c r="U551" s="13">
        <f t="shared" si="61"/>
        <v>0</v>
      </c>
      <c r="V551" s="12">
        <f t="shared" si="62"/>
        <v>0</v>
      </c>
      <c r="W551" s="18">
        <f>COUNTIFS(源数据[日期],源数据[[#This Row],[日期]],源数据[账号id],源数据[[#This Row],[账号id]])</f>
        <v>1</v>
      </c>
      <c r="X551" s="15" t="str">
        <f>IFERROR(源数据[[#This Row],[点击量]]/源数据[[#This Row],[展示量]],"")</f>
        <v/>
      </c>
      <c r="Y551" s="16" t="str">
        <f>IFERROR(源数据[[#This Row],[播放量]]/源数据[[#This Row],[展示量]],"")</f>
        <v/>
      </c>
      <c r="Z551" s="16" t="str">
        <f>IFERROR(源数据[[#This Row],[三连投放总消耗(毫分)]]/源数据[[#This Row],[播放量]],"")</f>
        <v/>
      </c>
      <c r="AA551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  <row r="552" s="2" customFormat="1" spans="1:27">
      <c r="A552" s="7">
        <v>46204</v>
      </c>
      <c r="B552" s="8" t="s">
        <v>1199</v>
      </c>
      <c r="C552" s="8" t="s">
        <v>1200</v>
      </c>
      <c r="D552" s="8" t="s">
        <v>91</v>
      </c>
      <c r="E552" s="8" t="s">
        <v>92</v>
      </c>
      <c r="F552" s="8" t="s">
        <v>101</v>
      </c>
      <c r="G552" s="9">
        <v>0</v>
      </c>
      <c r="H552" s="9">
        <v>0</v>
      </c>
      <c r="I552" s="10">
        <v>0</v>
      </c>
      <c r="J552" s="11">
        <v>0</v>
      </c>
      <c r="K552" s="12">
        <f t="shared" si="56"/>
        <v>0</v>
      </c>
      <c r="L552" s="13">
        <f t="shared" si="57"/>
        <v>0</v>
      </c>
      <c r="M552" s="13">
        <f t="shared" si="58"/>
        <v>0</v>
      </c>
      <c r="N552" s="11">
        <v>0</v>
      </c>
      <c r="O552" s="11">
        <v>0</v>
      </c>
      <c r="P552" s="11">
        <v>0</v>
      </c>
      <c r="Q552" s="13">
        <f t="shared" si="59"/>
        <v>0</v>
      </c>
      <c r="R552" s="11">
        <v>0</v>
      </c>
      <c r="S552" s="13">
        <f t="shared" si="60"/>
        <v>0</v>
      </c>
      <c r="T552" s="9">
        <v>0</v>
      </c>
      <c r="U552" s="13">
        <f t="shared" si="61"/>
        <v>0</v>
      </c>
      <c r="V552" s="12">
        <f t="shared" si="62"/>
        <v>0</v>
      </c>
      <c r="W552" s="18">
        <f>COUNTIFS(源数据[日期],源数据[[#This Row],[日期]],源数据[账号id],源数据[[#This Row],[账号id]])</f>
        <v>1</v>
      </c>
      <c r="X552" s="15" t="str">
        <f>IFERROR(源数据[[#This Row],[点击量]]/源数据[[#This Row],[展示量]],"")</f>
        <v/>
      </c>
      <c r="Y552" s="16" t="str">
        <f>IFERROR(源数据[[#This Row],[播放量]]/源数据[[#This Row],[展示量]],"")</f>
        <v/>
      </c>
      <c r="Z552" s="16" t="str">
        <f>IFERROR(源数据[[#This Row],[三连投放总消耗(毫分)]]/源数据[[#This Row],[播放量]],"")</f>
        <v/>
      </c>
      <c r="AA552" s="17" t="str">
        <f>IF(ABS(源数据[[#This Row],[播放成本]]-IFERROR(源数据[[#This Row],[播放量]]/源数据[[#This Row],[三连投放总消耗(毫分)]],0))&lt;0.000001,"反向口径匹配","需检查")</f>
        <v>反向口径匹配</v>
      </c>
    </row>
  </sheetData>
  <conditionalFormatting sqref="Q2:Q552">
    <cfRule type="colorScale" priority="1">
      <colorScale>
        <cfvo type="min"/>
        <cfvo type="percentile" val="50"/>
        <cfvo type="max"/>
        <color rgb="FFFECACA"/>
        <color rgb="FFFEF3C7"/>
        <color rgb="FFBBF7D0"/>
      </colorScale>
    </cfRule>
  </conditionalFormatting>
  <conditionalFormatting sqref="S2:S552">
    <cfRule type="colorScale" priority="2">
      <colorScale>
        <cfvo type="min"/>
        <cfvo type="percentile" val="50"/>
        <cfvo type="max"/>
        <color rgb="FFFECACA"/>
        <color rgb="FFFEF3C7"/>
        <color rgb="FFBBF7D0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2"/>
  <sheetViews>
    <sheetView workbookViewId="0">
      <selection activeCell="D25" sqref="D25"/>
    </sheetView>
  </sheetViews>
  <sheetFormatPr defaultColWidth="8" defaultRowHeight="13.8" outlineLevelCol="3"/>
  <cols>
    <col min="1" max="1" width="11.1"/>
    <col min="2" max="4" width="21.2"/>
  </cols>
  <sheetData>
    <row r="3" spans="1:4">
      <c r="A3" t="s">
        <v>37</v>
      </c>
      <c r="B3" t="s">
        <v>1201</v>
      </c>
      <c r="C3" s="1" t="s">
        <v>1202</v>
      </c>
      <c r="D3" t="s">
        <v>1203</v>
      </c>
    </row>
    <row r="4" spans="1:4">
      <c r="A4" t="s">
        <v>748</v>
      </c>
      <c r="B4">
        <v>6159</v>
      </c>
      <c r="C4">
        <v>14.85</v>
      </c>
      <c r="D4">
        <v>69</v>
      </c>
    </row>
    <row r="5" spans="1:4">
      <c r="A5" t="s">
        <v>110</v>
      </c>
      <c r="B5">
        <v>926266</v>
      </c>
      <c r="C5">
        <v>7102.75</v>
      </c>
      <c r="D5">
        <v>39905</v>
      </c>
    </row>
    <row r="6" spans="1:4">
      <c r="A6" t="s">
        <v>96</v>
      </c>
      <c r="B6">
        <v>11930273</v>
      </c>
      <c r="C6">
        <v>99778.5799999999</v>
      </c>
      <c r="D6">
        <v>305346</v>
      </c>
    </row>
    <row r="7" spans="1:4">
      <c r="A7" t="s">
        <v>115</v>
      </c>
      <c r="B7">
        <v>5309356</v>
      </c>
      <c r="C7">
        <v>39785.35</v>
      </c>
      <c r="D7">
        <v>225420</v>
      </c>
    </row>
    <row r="8" spans="1:4">
      <c r="A8" t="s">
        <v>152</v>
      </c>
      <c r="B8">
        <v>321693</v>
      </c>
      <c r="C8">
        <v>5152.22</v>
      </c>
      <c r="D8">
        <v>44785</v>
      </c>
    </row>
    <row r="9" spans="1:4">
      <c r="A9" t="s">
        <v>101</v>
      </c>
      <c r="B9">
        <v>4114781</v>
      </c>
      <c r="C9">
        <v>12215.7</v>
      </c>
      <c r="D9">
        <v>115091</v>
      </c>
    </row>
    <row r="10" spans="1:4">
      <c r="A10" t="s">
        <v>93</v>
      </c>
      <c r="B10">
        <v>6554721</v>
      </c>
      <c r="C10">
        <v>38391.05</v>
      </c>
      <c r="D10">
        <v>289090</v>
      </c>
    </row>
    <row r="11" spans="1:4">
      <c r="A11" t="s">
        <v>213</v>
      </c>
      <c r="B11">
        <v>633808</v>
      </c>
      <c r="C11">
        <v>4585.44</v>
      </c>
      <c r="D11">
        <v>10025</v>
      </c>
    </row>
    <row r="12" spans="1:4">
      <c r="A12" t="s">
        <v>1204</v>
      </c>
      <c r="B12">
        <v>29797057</v>
      </c>
      <c r="C12">
        <v>207025.94</v>
      </c>
      <c r="D12">
        <v>1029731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脱敏说明</vt:lpstr>
      <vt:lpstr>字段说明</vt:lpstr>
      <vt:lpstr>脱敏数据</vt:lpstr>
      <vt:lpstr>透视表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WPS_1629276278</cp:lastModifiedBy>
  <dcterms:created xsi:type="dcterms:W3CDTF">2026-08-08T05:39:00Z</dcterms:created>
  <dcterms:modified xsi:type="dcterms:W3CDTF">2026-08-11T06:20:13Z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232639C8689649458A261DC07D88585B_12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